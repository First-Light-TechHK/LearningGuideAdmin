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macai/Desktop/"/>
    </mc:Choice>
  </mc:AlternateContent>
  <xr:revisionPtr revIDLastSave="0" documentId="13_ncr:1_{6696564F-5BD2-8A4F-B4FA-A2914591D6AC}" xr6:coauthVersionLast="47" xr6:coauthVersionMax="47" xr10:uidLastSave="{00000000-0000-0000-0000-000000000000}"/>
  <bookViews>
    <workbookView xWindow="3600" yWindow="740" windowWidth="23800" windowHeight="16040" tabRatio="500" activeTab="1" xr2:uid="{00000000-000D-0000-FFFF-FFFF00000000}"/>
  </bookViews>
  <sheets>
    <sheet name="Checklist" sheetId="2" r:id="rId1"/>
    <sheet name="Course info" sheetId="3" r:id="rId2"/>
    <sheet name="Lessons" sheetId="4" r:id="rId3"/>
    <sheet name="Knowledge test" sheetId="5" r:id="rId4"/>
    <sheet name="Application test" sheetId="6" r:id="rId5"/>
    <sheet name="Reading list" sheetId="7" r:id="rId6"/>
    <sheet name="Exhibits" sheetId="8" r:id="rId7"/>
    <sheet name="Lists" sheetId="9" state="hidden"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8" i="2" l="1"/>
  <c r="B60" i="2" s="1"/>
  <c r="B57" i="2"/>
  <c r="A52" i="2"/>
  <c r="E51" i="2"/>
  <c r="A51" i="2"/>
  <c r="D51" i="2" s="1"/>
  <c r="A50" i="2"/>
  <c r="A49" i="2"/>
  <c r="A48" i="2"/>
  <c r="E48" i="2" s="1"/>
  <c r="A47" i="2"/>
  <c r="A46" i="2"/>
  <c r="A45" i="2"/>
  <c r="A44" i="2"/>
  <c r="A43" i="2"/>
  <c r="A42" i="2"/>
  <c r="A41" i="2"/>
  <c r="A40" i="2"/>
  <c r="A39" i="2"/>
  <c r="A38" i="2"/>
  <c r="E37" i="2"/>
  <c r="A37" i="2"/>
  <c r="A36" i="2"/>
  <c r="A35" i="2"/>
  <c r="A34" i="2"/>
  <c r="A33" i="2"/>
  <c r="B31" i="2"/>
  <c r="I22" i="2"/>
  <c r="I21" i="2"/>
  <c r="I20" i="2"/>
  <c r="I19" i="2"/>
  <c r="I18" i="2"/>
  <c r="I17" i="2"/>
  <c r="B4" i="2"/>
  <c r="B40" i="2" l="1"/>
  <c r="E40" i="2"/>
  <c r="D40" i="2"/>
  <c r="C40" i="2"/>
  <c r="D37" i="2"/>
  <c r="C37" i="2"/>
  <c r="B37" i="2"/>
  <c r="B52" i="2"/>
  <c r="D52" i="2"/>
  <c r="C52" i="2"/>
  <c r="E52" i="2"/>
  <c r="C51" i="2"/>
  <c r="B51" i="2"/>
  <c r="E50" i="2"/>
  <c r="D50" i="2"/>
  <c r="C50" i="2"/>
  <c r="B50" i="2"/>
  <c r="E49" i="2"/>
  <c r="D49" i="2"/>
  <c r="C49" i="2"/>
  <c r="B49" i="2"/>
  <c r="D48" i="2"/>
  <c r="C48" i="2"/>
  <c r="B48" i="2"/>
  <c r="E47" i="2"/>
  <c r="D47" i="2"/>
  <c r="C47" i="2"/>
  <c r="B47" i="2"/>
  <c r="B46" i="2"/>
  <c r="C46" i="2"/>
  <c r="D46" i="2"/>
  <c r="E46" i="2"/>
  <c r="D45" i="2"/>
  <c r="C45" i="2"/>
  <c r="B45" i="2"/>
  <c r="E45" i="2"/>
  <c r="E44" i="2"/>
  <c r="D44" i="2"/>
  <c r="C44" i="2"/>
  <c r="B44" i="2"/>
  <c r="E43" i="2"/>
  <c r="D43" i="2"/>
  <c r="C43" i="2"/>
  <c r="B43" i="2"/>
  <c r="E42" i="2"/>
  <c r="D42" i="2"/>
  <c r="C42" i="2"/>
  <c r="B42" i="2"/>
  <c r="D41" i="2"/>
  <c r="B41" i="2"/>
  <c r="C41" i="2"/>
  <c r="E41" i="2"/>
  <c r="E39" i="2"/>
  <c r="D39" i="2"/>
  <c r="C39" i="2"/>
  <c r="B39" i="2"/>
  <c r="E38" i="2"/>
  <c r="D38" i="2"/>
  <c r="C38" i="2"/>
  <c r="B38" i="2"/>
  <c r="C36" i="2"/>
  <c r="D36" i="2"/>
  <c r="E36" i="2"/>
  <c r="B36" i="2"/>
  <c r="E35" i="2"/>
  <c r="D35" i="2"/>
  <c r="C35" i="2"/>
  <c r="B35" i="2"/>
  <c r="E34" i="2"/>
  <c r="D34" i="2"/>
  <c r="C34" i="2"/>
  <c r="B34" i="2"/>
  <c r="E33" i="2"/>
  <c r="D33" i="2"/>
  <c r="C33" i="2"/>
  <c r="B33" i="2"/>
  <c r="B53" i="2" l="1"/>
  <c r="E53" i="2"/>
  <c r="D53" i="2"/>
  <c r="C53" i="2"/>
</calcChain>
</file>

<file path=xl/sharedStrings.xml><?xml version="1.0" encoding="utf-8"?>
<sst xmlns="http://schemas.openxmlformats.org/spreadsheetml/2006/main" count="489" uniqueCount="269">
  <si>
    <t>Course Creator</t>
  </si>
  <si>
    <t>Video &amp; Text Manager</t>
  </si>
  <si>
    <t>Graphic Designer</t>
  </si>
  <si>
    <t>Checklist</t>
  </si>
  <si>
    <t>Step 1: fill in the course set-up below when work starts. Step 2: update the status of each item as work progresses. Step 3: check the counts, then the Course Creator confirms the content is ready for upload.</t>
  </si>
  <si>
    <t>Course title</t>
  </si>
  <si>
    <t>From Course info.</t>
  </si>
  <si>
    <t>Course ID</t>
  </si>
  <si>
    <t>C001</t>
  </si>
  <si>
    <t>Filled in by the Operator after the course is created.</t>
  </si>
  <si>
    <t>Learning language</t>
  </si>
  <si>
    <t>English &amp; Chinese</t>
  </si>
  <si>
    <t>Languages of the video and text files. Locked once the course is created. Everything else is required in English and Chinese.</t>
  </si>
  <si>
    <t>Study mode</t>
  </si>
  <si>
    <t>Both</t>
  </si>
  <si>
    <t>Video, Text or Both. Locked once the course is created.</t>
  </si>
  <si>
    <t>Number of lessons</t>
  </si>
  <si>
    <t>Used below to check that nothing is missing.</t>
  </si>
  <si>
    <t>Name.</t>
  </si>
  <si>
    <t>Shared folder link</t>
  </si>
  <si>
    <t>Planned go-live date</t>
  </si>
  <si>
    <t>#</t>
  </si>
  <si>
    <t>Deliverable</t>
  </si>
  <si>
    <t>Owner</t>
  </si>
  <si>
    <t>Applies</t>
  </si>
  <si>
    <t>Status</t>
  </si>
  <si>
    <t>Where</t>
  </si>
  <si>
    <t>Last updated</t>
  </si>
  <si>
    <t>Notes</t>
  </si>
  <si>
    <t>Course info – English and Chinese</t>
  </si>
  <si>
    <t>Yes</t>
  </si>
  <si>
    <t>Not started</t>
  </si>
  <si>
    <t>Tab: Course info</t>
  </si>
  <si>
    <t>Lesson info and learning point titles – English and Chinese, all lessons</t>
  </si>
  <si>
    <t>Tab: Lessons</t>
  </si>
  <si>
    <t>Course cover</t>
  </si>
  <si>
    <t>See shared folder</t>
  </si>
  <si>
    <t>Video files – English, all lessons</t>
  </si>
  <si>
    <t>Video files – Chinese, all lessons</t>
  </si>
  <si>
    <t>Video learning point times – English video</t>
  </si>
  <si>
    <t>Video learning point times – Chinese video</t>
  </si>
  <si>
    <t>Text files – English, all lessons (learning point titles as Heading 1)</t>
  </si>
  <si>
    <t>Text files – Chinese, all lessons (learning point titles as Heading 1)</t>
  </si>
  <si>
    <t>Exhibit files and thumbnails</t>
  </si>
  <si>
    <t>Exhibit details – English and Chinese, with video trigger times</t>
  </si>
  <si>
    <t>Tab: Exhibits</t>
  </si>
  <si>
    <t>Knowledge test – English and Chinese, all lessons</t>
  </si>
  <si>
    <t>Tab: Knowledge test</t>
  </si>
  <si>
    <t>Application test – English and Chinese, all lessons</t>
  </si>
  <si>
    <t>Tab: Application test</t>
  </si>
  <si>
    <t>Reading list – English, all lessons</t>
  </si>
  <si>
    <t>Tab: Reading list</t>
  </si>
  <si>
    <t>Applies turns orange when it does not match the learning language or study mode above.</t>
  </si>
  <si>
    <t>Content counts – check that nothing is missing</t>
  </si>
  <si>
    <t>Lessons in the Lessons tab</t>
  </si>
  <si>
    <t>Lesson</t>
  </si>
  <si>
    <t>Knowledge test questions</t>
  </si>
  <si>
    <t>Application test</t>
  </si>
  <si>
    <t>Exhibits</t>
  </si>
  <si>
    <t>Readings</t>
  </si>
  <si>
    <t>Total</t>
  </si>
  <si>
    <t>A red 0 means nothing has been entered for that lesson yet.</t>
  </si>
  <si>
    <t>Upload signal</t>
  </si>
  <si>
    <t>Items ready</t>
  </si>
  <si>
    <t>All items ready?</t>
  </si>
  <si>
    <t>Content ready for upload (Course Creator)</t>
  </si>
  <si>
    <t>No</t>
  </si>
  <si>
    <t>Confirmed by</t>
  </si>
  <si>
    <t>Date</t>
  </si>
  <si>
    <t>Operator log</t>
  </si>
  <si>
    <t>Uploaded to the system on</t>
  </si>
  <si>
    <t>Published to preview on</t>
  </si>
  <si>
    <t>Course info</t>
  </si>
  <si>
    <t>Information shown to learners on course cards and the course page. Every text field is required in English and Chinese. The course set-up (languages, study mode, number of lessons) is on the Checklist.</t>
  </si>
  <si>
    <t>Field</t>
  </si>
  <si>
    <t>English</t>
  </si>
  <si>
    <r>
      <rPr>
        <b/>
        <sz val="10"/>
        <color rgb="FFFFFFFF"/>
        <rFont val="Arial"/>
        <family val="2"/>
      </rPr>
      <t>Chinese (</t>
    </r>
    <r>
      <rPr>
        <b/>
        <sz val="10"/>
        <color rgb="FFFFFFFF"/>
        <rFont val="Noto Sans CJK SC"/>
        <family val="2"/>
      </rPr>
      <t>中文</t>
    </r>
    <r>
      <rPr>
        <b/>
        <sz val="10"/>
        <color rgb="FFFFFFFF"/>
        <rFont val="Arial"/>
        <family val="2"/>
      </rPr>
      <t>)</t>
    </r>
  </si>
  <si>
    <t>Category</t>
  </si>
  <si>
    <t>Science</t>
  </si>
  <si>
    <t>Choose from the list.</t>
  </si>
  <si>
    <t>Modeling life</t>
  </si>
  <si>
    <r>
      <rPr>
        <sz val="9"/>
        <color rgb="FF6B7280"/>
        <rFont val="Arial"/>
        <family val="2"/>
      </rPr>
      <t>Recommended length: 30 characters (EN) / 14 (</t>
    </r>
    <r>
      <rPr>
        <sz val="9"/>
        <color rgb="FF6B7280"/>
        <rFont val="Noto Sans CJK SC"/>
        <family val="2"/>
      </rPr>
      <t>中文</t>
    </r>
    <r>
      <rPr>
        <sz val="9"/>
        <color rgb="FF6B7280"/>
        <rFont val="Arial"/>
        <family val="2"/>
      </rPr>
      <t>).</t>
    </r>
  </si>
  <si>
    <t>Short description</t>
  </si>
  <si>
    <r>
      <rPr>
        <sz val="9"/>
        <color rgb="FF6B7280"/>
        <rFont val="Arial"/>
        <family val="2"/>
      </rPr>
      <t>Recommended length: 225 (EN) / 100 (</t>
    </r>
    <r>
      <rPr>
        <sz val="9"/>
        <color rgb="FF6B7280"/>
        <rFont val="Noto Sans CJK SC"/>
        <family val="2"/>
      </rPr>
      <t>中文</t>
    </r>
    <r>
      <rPr>
        <sz val="9"/>
        <color rgb="FF6B7280"/>
        <rFont val="Arial"/>
        <family val="2"/>
      </rPr>
      <t>).</t>
    </r>
  </si>
  <si>
    <t>Overview</t>
  </si>
  <si>
    <r>
      <rPr>
        <sz val="9"/>
        <color rgb="FF6B7280"/>
        <rFont val="Arial"/>
        <family val="2"/>
      </rPr>
      <t>Recommended length: 650 (EN) / 380 (</t>
    </r>
    <r>
      <rPr>
        <sz val="9"/>
        <color rgb="FF6B7280"/>
        <rFont val="Noto Sans CJK SC"/>
        <family val="2"/>
      </rPr>
      <t>中文</t>
    </r>
    <r>
      <rPr>
        <sz val="9"/>
        <color rgb="FF6B7280"/>
        <rFont val="Arial"/>
        <family val="2"/>
      </rPr>
      <t>).</t>
    </r>
  </si>
  <si>
    <t>What you'll learn</t>
  </si>
  <si>
    <t>At least 4, 6 recommended. One item per row; add rows if needed.</t>
  </si>
  <si>
    <t>Model biological systems mathematically</t>
  </si>
  <si>
    <t>Learn the basics of a programming language</t>
  </si>
  <si>
    <t>This course provides</t>
  </si>
  <si>
    <t>4 to 6 items, 6 recommended. Choose a preset (its icon and wording are fixed) or "Custom item" and write your own text.</t>
  </si>
  <si>
    <t>Item</t>
  </si>
  <si>
    <t>Custom text – English</t>
  </si>
  <si>
    <r>
      <rPr>
        <b/>
        <sz val="10"/>
        <color rgb="FFFFFFFF"/>
        <rFont val="Arial"/>
        <family val="2"/>
      </rPr>
      <t>Custom text – Chinese (</t>
    </r>
    <r>
      <rPr>
        <b/>
        <sz val="10"/>
        <color rgb="FFFFFFFF"/>
        <rFont val="Noto Sans CJK SC"/>
        <family val="2"/>
      </rPr>
      <t>中文</t>
    </r>
    <r>
      <rPr>
        <b/>
        <sz val="10"/>
        <color rgb="FFFFFFFF"/>
        <rFont val="Arial"/>
        <family val="2"/>
      </rPr>
      <t>)</t>
    </r>
  </si>
  <si>
    <t>Video &amp; text dual-mode learning</t>
  </si>
  <si>
    <t>Multiple reference exhibits</t>
  </si>
  <si>
    <t>Lessons</t>
  </si>
  <si>
    <t>One block per lesson – copy a block for each further lesson. Text-mode learning points are taken from the Heading 1 titles in the lesson text; list them here for reference. Learning point titles are always needed in English and Chinese. Start times (mm:ss) are only needed for the video languages the course has.</t>
  </si>
  <si>
    <t>Lesson 1</t>
  </si>
  <si>
    <t>Lesson ID</t>
  </si>
  <si>
    <t>L001</t>
  </si>
  <si>
    <t>Lesson title (EN)</t>
  </si>
  <si>
    <t>State Spaces, Vector Spaces and Trajectories</t>
  </si>
  <si>
    <r>
      <rPr>
        <b/>
        <sz val="10"/>
        <color rgb="FF111827"/>
        <rFont val="Arial"/>
        <family val="2"/>
      </rPr>
      <t>Lesson title (</t>
    </r>
    <r>
      <rPr>
        <b/>
        <sz val="10"/>
        <color rgb="FF111827"/>
        <rFont val="Noto Sans CJK SC"/>
        <family val="2"/>
      </rPr>
      <t>中文</t>
    </r>
    <r>
      <rPr>
        <b/>
        <sz val="10"/>
        <color rgb="FF111827"/>
        <rFont val="Arial"/>
        <family val="2"/>
      </rPr>
      <t>)</t>
    </r>
  </si>
  <si>
    <t>Lesson description (EN)</t>
  </si>
  <si>
    <t>A system can be thought of as a collection of states at different times.</t>
  </si>
  <si>
    <r>
      <rPr>
        <b/>
        <sz val="10"/>
        <color rgb="FF111827"/>
        <rFont val="Arial"/>
        <family val="2"/>
      </rPr>
      <t>Lesson description (</t>
    </r>
    <r>
      <rPr>
        <b/>
        <sz val="10"/>
        <color rgb="FF111827"/>
        <rFont val="Noto Sans CJK SC"/>
        <family val="2"/>
      </rPr>
      <t>中文</t>
    </r>
    <r>
      <rPr>
        <b/>
        <sz val="10"/>
        <color rgb="FF111827"/>
        <rFont val="Arial"/>
        <family val="2"/>
      </rPr>
      <t>)</t>
    </r>
  </si>
  <si>
    <t>Text mode title – EN</t>
  </si>
  <si>
    <r>
      <rPr>
        <b/>
        <sz val="10"/>
        <color rgb="FFFFFFFF"/>
        <rFont val="Arial"/>
        <family val="2"/>
      </rPr>
      <t xml:space="preserve">Text mode title – </t>
    </r>
    <r>
      <rPr>
        <b/>
        <sz val="10"/>
        <color rgb="FFFFFFFF"/>
        <rFont val="Noto Sans CJK SC"/>
        <family val="2"/>
      </rPr>
      <t>中文</t>
    </r>
  </si>
  <si>
    <t>Video mode title – EN</t>
  </si>
  <si>
    <r>
      <rPr>
        <b/>
        <sz val="10"/>
        <color rgb="FFFFFFFF"/>
        <rFont val="Arial"/>
        <family val="2"/>
      </rPr>
      <t xml:space="preserve">Video mode title – </t>
    </r>
    <r>
      <rPr>
        <b/>
        <sz val="10"/>
        <color rgb="FFFFFFFF"/>
        <rFont val="Noto Sans CJK SC"/>
        <family val="2"/>
      </rPr>
      <t>中文</t>
    </r>
  </si>
  <si>
    <t>Start · EN video</t>
  </si>
  <si>
    <r>
      <rPr>
        <b/>
        <sz val="10"/>
        <color rgb="FFFFFFFF"/>
        <rFont val="Arial"/>
        <family val="2"/>
      </rPr>
      <t xml:space="preserve">Start · </t>
    </r>
    <r>
      <rPr>
        <b/>
        <sz val="10"/>
        <color rgb="FFFFFFFF"/>
        <rFont val="Noto Sans CJK SC"/>
        <family val="2"/>
      </rPr>
      <t xml:space="preserve">中文 </t>
    </r>
    <r>
      <rPr>
        <b/>
        <sz val="10"/>
        <color rgb="FFFFFFFF"/>
        <rFont val="Arial"/>
        <family val="2"/>
      </rPr>
      <t>video</t>
    </r>
  </si>
  <si>
    <t>1.1</t>
  </si>
  <si>
    <t>00:10</t>
  </si>
  <si>
    <t>1.2</t>
  </si>
  <si>
    <t>06:52</t>
  </si>
  <si>
    <t>1.3</t>
  </si>
  <si>
    <t>1.4</t>
  </si>
  <si>
    <t>1.5</t>
  </si>
  <si>
    <t>Lesson 2</t>
  </si>
  <si>
    <t>2.1</t>
  </si>
  <si>
    <t>2.2</t>
  </si>
  <si>
    <t>Knowledge test</t>
  </si>
  <si>
    <t>One question per row, in the order learners will see them. English and Chinese are both required.</t>
  </si>
  <si>
    <t>Order</t>
  </si>
  <si>
    <t>Question (EN)</t>
  </si>
  <si>
    <t>Reference answer (EN)</t>
  </si>
  <si>
    <r>
      <rPr>
        <b/>
        <sz val="10"/>
        <color rgb="FFFFFFFF"/>
        <rFont val="Arial"/>
        <family val="2"/>
      </rPr>
      <t>Question (</t>
    </r>
    <r>
      <rPr>
        <b/>
        <sz val="10"/>
        <color rgb="FFFFFFFF"/>
        <rFont val="Noto Sans CJK SC"/>
        <family val="2"/>
      </rPr>
      <t>中文</t>
    </r>
    <r>
      <rPr>
        <b/>
        <sz val="10"/>
        <color rgb="FFFFFFFF"/>
        <rFont val="Arial"/>
        <family val="2"/>
      </rPr>
      <t>)</t>
    </r>
  </si>
  <si>
    <r>
      <rPr>
        <b/>
        <sz val="10"/>
        <color rgb="FFFFFFFF"/>
        <rFont val="Arial"/>
        <family val="2"/>
      </rPr>
      <t>Reference answer (</t>
    </r>
    <r>
      <rPr>
        <b/>
        <sz val="10"/>
        <color rgb="FFFFFFFF"/>
        <rFont val="Noto Sans CJK SC"/>
        <family val="2"/>
      </rPr>
      <t>中文</t>
    </r>
    <r>
      <rPr>
        <b/>
        <sz val="10"/>
        <color rgb="FFFFFFFF"/>
        <rFont val="Arial"/>
        <family val="2"/>
      </rPr>
      <t>)</t>
    </r>
  </si>
  <si>
    <t>It is the mathematical framework of state spaces, vector spaces and trajectories.</t>
  </si>
  <si>
    <t>One question per lesson. Reference answers are shown to learners after AI evaluation and are used by the AI as a reference. English and Chinese are both required.</t>
  </si>
  <si>
    <t>Reading list</t>
  </si>
  <si>
    <t>Recommended reading per lesson, in English only. Type: Book, Article, Paper or Other.</t>
  </si>
  <si>
    <t>Type</t>
  </si>
  <si>
    <t>Title</t>
  </si>
  <si>
    <t>Author</t>
  </si>
  <si>
    <t>Why we recommend it</t>
  </si>
  <si>
    <t>Book</t>
  </si>
  <si>
    <t>Modeling Life, pp 16–23</t>
  </si>
  <si>
    <t>Garfinkel, Shevtsov, Guo</t>
  </si>
  <si>
    <t>A readable introduction to state spaces.</t>
  </si>
  <si>
    <t>One exhibit per row; the files go in the shared folder. Trigger times are when the exhibit appears in each video (mm:ss); separate several times with commas. In text files, mark the position with [Exhibit: E01].</t>
  </si>
  <si>
    <t>Exhibit ID</t>
  </si>
  <si>
    <t>Media type</t>
  </si>
  <si>
    <t>Title (EN)</t>
  </si>
  <si>
    <r>
      <rPr>
        <b/>
        <sz val="10"/>
        <color rgb="FFFFFFFF"/>
        <rFont val="Arial"/>
        <family val="2"/>
      </rPr>
      <t>Title (</t>
    </r>
    <r>
      <rPr>
        <b/>
        <sz val="10"/>
        <color rgb="FFFFFFFF"/>
        <rFont val="Noto Sans CJK SC"/>
        <family val="2"/>
      </rPr>
      <t>中文</t>
    </r>
    <r>
      <rPr>
        <b/>
        <sz val="10"/>
        <color rgb="FFFFFFFF"/>
        <rFont val="Arial"/>
        <family val="2"/>
      </rPr>
      <t>)</t>
    </r>
  </si>
  <si>
    <t>Description (EN)</t>
  </si>
  <si>
    <r>
      <rPr>
        <b/>
        <sz val="10"/>
        <color rgb="FFFFFFFF"/>
        <rFont val="Arial"/>
        <family val="2"/>
      </rPr>
      <t>Description (</t>
    </r>
    <r>
      <rPr>
        <b/>
        <sz val="10"/>
        <color rgb="FFFFFFFF"/>
        <rFont val="Noto Sans CJK SC"/>
        <family val="2"/>
      </rPr>
      <t>中文</t>
    </r>
    <r>
      <rPr>
        <b/>
        <sz val="10"/>
        <color rgb="FFFFFFFF"/>
        <rFont val="Arial"/>
        <family val="2"/>
      </rPr>
      <t>)</t>
    </r>
  </si>
  <si>
    <t>Source (EN)</t>
  </si>
  <si>
    <r>
      <rPr>
        <b/>
        <sz val="10"/>
        <color rgb="FFFFFFFF"/>
        <rFont val="Arial"/>
        <family val="2"/>
      </rPr>
      <t>Source (</t>
    </r>
    <r>
      <rPr>
        <b/>
        <sz val="10"/>
        <color rgb="FFFFFFFF"/>
        <rFont val="Noto Sans CJK SC"/>
        <family val="2"/>
      </rPr>
      <t>中文</t>
    </r>
    <r>
      <rPr>
        <b/>
        <sz val="10"/>
        <color rgb="FFFFFFFF"/>
        <rFont val="Arial"/>
        <family val="2"/>
      </rPr>
      <t>)</t>
    </r>
  </si>
  <si>
    <t>Trigger · EN video</t>
  </si>
  <si>
    <r>
      <rPr>
        <b/>
        <sz val="10"/>
        <color rgb="FFFFFFFF"/>
        <rFont val="Arial"/>
        <family val="2"/>
      </rPr>
      <t xml:space="preserve">Trigger · </t>
    </r>
    <r>
      <rPr>
        <b/>
        <sz val="10"/>
        <color rgb="FFFFFFFF"/>
        <rFont val="Noto Sans CJK SC"/>
        <family val="2"/>
      </rPr>
      <t xml:space="preserve">中文 </t>
    </r>
    <r>
      <rPr>
        <b/>
        <sz val="10"/>
        <color rgb="FFFFFFFF"/>
        <rFont val="Arial"/>
        <family val="2"/>
      </rPr>
      <t>video</t>
    </r>
  </si>
  <si>
    <t>E01</t>
  </si>
  <si>
    <t>Image</t>
  </si>
  <si>
    <t>T, W, V, C</t>
  </si>
  <si>
    <t>A cup of coffee described by four state variables (T, W, V, C)…</t>
  </si>
  <si>
    <t>-</t>
  </si>
  <si>
    <t>00:37</t>
  </si>
  <si>
    <t>LearnLang</t>
  </si>
  <si>
    <t>StudyMode</t>
  </si>
  <si>
    <t>Lang</t>
  </si>
  <si>
    <t>Media</t>
  </si>
  <si>
    <t>ReadType</t>
  </si>
  <si>
    <t>YesNo</t>
  </si>
  <si>
    <t>Provides</t>
  </si>
  <si>
    <t>Video</t>
  </si>
  <si>
    <t>EN</t>
  </si>
  <si>
    <t>In progress</t>
  </si>
  <si>
    <t>N/A</t>
  </si>
  <si>
    <t>Chinese Humanities</t>
  </si>
  <si>
    <t>Text</t>
  </si>
  <si>
    <t>ZH</t>
  </si>
  <si>
    <t>Article</t>
  </si>
  <si>
    <t>Ready</t>
  </si>
  <si>
    <t>European Humanities</t>
  </si>
  <si>
    <t>Chinese</t>
  </si>
  <si>
    <t>3D</t>
  </si>
  <si>
    <t>Paper</t>
  </si>
  <si>
    <t>AI-powered learning assistant</t>
  </si>
  <si>
    <t>Needs changes</t>
  </si>
  <si>
    <t>Other</t>
  </si>
  <si>
    <t>AI-guided deep comprehension</t>
  </si>
  <si>
    <t>Extended readings for context</t>
  </si>
  <si>
    <r>
      <rPr>
        <sz val="10"/>
        <color rgb="FF111827"/>
        <rFont val="Arial"/>
        <family val="2"/>
      </rPr>
      <t xml:space="preserve">Bilingual: </t>
    </r>
    <r>
      <rPr>
        <sz val="10"/>
        <color rgb="FF111827"/>
        <rFont val="Noto Sans CJK SC"/>
        <family val="2"/>
      </rPr>
      <t xml:space="preserve">中文 </t>
    </r>
    <r>
      <rPr>
        <sz val="10"/>
        <color rgb="FF111827"/>
        <rFont val="Arial"/>
        <family val="2"/>
      </rPr>
      <t>/ English</t>
    </r>
  </si>
  <si>
    <t>Custom item</t>
  </si>
  <si>
    <t>Harry</t>
    <phoneticPr fontId="16" type="noConversion"/>
  </si>
  <si>
    <t>See how mathematics models life, from population growth to neural activity and disease. Simulate real biological systems with Euler’s method, no prior background in differential equations required.</t>
    <phoneticPr fontId="16" type="noConversion"/>
  </si>
  <si>
    <t>Centred on dynamical systems and feedback, it shows how differential equations underpin homeostasis, population dynamics, neural activity and disease — the very competencies flagged as essential by HHMI/AAMC, and the NSF/AAAS Vision and Change initiative. Rather than mastering by-hand calculus techniques, students learn to simulate systems computationally using Euler's method, requiring no prior background in differential equations. Real examples from physiology, ecology, neuroscience and immunology anchor every concept, starting from day one with a predator–prey ecosystem. The result is a practical, intuitive fluency in dynamical thinking that prepares students for further study and research across the life sciences.</t>
    <phoneticPr fontId="16" type="noConversion"/>
  </si>
  <si>
    <t>Explore dynamics across disciplines</t>
    <phoneticPr fontId="16" type="noConversion"/>
  </si>
  <si>
    <t>Simulate nonlinear dynamics with Euler's method</t>
    <phoneticPr fontId="16" type="noConversion"/>
  </si>
  <si>
    <t>Understand positive and negative feedback</t>
    <phoneticPr fontId="16" type="noConversion"/>
  </si>
  <si>
    <t xml:space="preserve">Build the competencies future physicians and researchers </t>
    <phoneticPr fontId="16" type="noConversion"/>
  </si>
  <si>
    <t>Bilingual: 中文 / English</t>
  </si>
  <si>
    <t>State Space Rules for Operating with Vectors</t>
    <phoneticPr fontId="16" type="noConversion"/>
  </si>
  <si>
    <t>Vectors And Vector Spaces</t>
    <phoneticPr fontId="16" type="noConversion"/>
  </si>
  <si>
    <t>Vectors and Trajectories Change in State Space, Time Series Translation</t>
    <phoneticPr fontId="16" type="noConversion"/>
  </si>
  <si>
    <t>L002</t>
    <phoneticPr fontId="16" type="noConversion"/>
  </si>
  <si>
    <t>Pitchfork Bifurcation</t>
    <phoneticPr fontId="16" type="noConversion"/>
  </si>
  <si>
    <t>A new model and a new kind of bifurcation.</t>
    <phoneticPr fontId="16" type="noConversion"/>
  </si>
  <si>
    <t>Pitchfork Bifurcation in a Model of Public Opinion</t>
    <phoneticPr fontId="16" type="noConversion"/>
  </si>
  <si>
    <t>Transcritical Bifurcation</t>
    <phoneticPr fontId="16" type="noConversion"/>
  </si>
  <si>
    <t>State Variables and State Spaces</t>
    <phoneticPr fontId="16" type="noConversion"/>
  </si>
  <si>
    <t>Defining Vectors</t>
    <phoneticPr fontId="16" type="noConversion"/>
  </si>
  <si>
    <t xml:space="preserve">What is the conceptual model of how science approaches the study of any dynamic system?  </t>
  </si>
  <si>
    <t>What is a state?</t>
  </si>
  <si>
    <t>A state is the aspect of a phenomenon that we are investigating. For example, suppose the phenomenon we are interested in is a cup of coffee, then the state might be its location in the room, the amount of coffee in the cup or the temperature of the coffee.</t>
  </si>
  <si>
    <t>What determines the choice of state?</t>
  </si>
  <si>
    <t xml:space="preserve"> That is determined by what change we are interested in understanding. If we are interested in how fast the coffee is evaporating, then we might focus on the volume or weight of coffee in the cup over time rather than where the cup is in the room or the temperature of the coffee in the cup.</t>
  </si>
  <si>
    <t>Why do states always have numbers and units attached?</t>
  </si>
  <si>
    <t xml:space="preserve"> If we are going to use mathematics to describe a system, then the states need to be quantified in terms of a recognised measurement unit. So for example, the weight might be measured in grams or the temperature in degrees Kelvin.</t>
  </si>
  <si>
    <t>Does this same modelling approach apply only to the phenomena studied by physics or chemistry?</t>
  </si>
  <si>
    <t xml:space="preserve">It also applies outside the material sciences, for example in areas studied by economics or biology. It can be used to model an animal population over time and in this case the state will be the size of the population, i.e. the number of animals in the population. </t>
  </si>
  <si>
    <t>What’s a state variable?</t>
  </si>
  <si>
    <t xml:space="preserve"> A variable is the measured value of the state of a system. For example, temperature is often recorded in degrees Kelvin.</t>
  </si>
  <si>
    <t>What is a state space?</t>
  </si>
  <si>
    <t>A  state space is all the possible states a system can be in over time.</t>
  </si>
  <si>
    <t>What sort of system is described by more than one state variable?</t>
  </si>
  <si>
    <t>Sometimes a system’s changes depend on the interaction of different factors, so it takes more than one variable to describe it. Take the example of an animal population where there is a predator-prey relationship, such as sharks and tuna. The shark-tuna population is described by two variables, the number of sharks and the number of tuna at any one time.</t>
  </si>
  <si>
    <t>Is the shark-tuna space something different from the ocean, where sharks and tuna live?</t>
  </si>
  <si>
    <t xml:space="preserve"> Yes, they are very different. For one thing, shark-tuna space is two-dimensional, and real life is three-dimensional. But more importantly, shark-tuna space is populated not by real sharks and real tuna, but by numbers, representing the size of the shark and tuna populations at some time.</t>
  </si>
  <si>
    <t xml:space="preserve"> Can state spaces be more than three- dimensional?</t>
  </si>
  <si>
    <t>Yes, they can. For example, the model of a neuron typically has four variables in its description.</t>
  </si>
  <si>
    <t>What is a vector?</t>
  </si>
  <si>
    <t>A vector is a way of describing a location in state space in relation to the point of origin in the state space. A vector therefore has two attributes: magnitude and direction.</t>
  </si>
  <si>
    <t>How do we manipulate vectors mathematically?</t>
  </si>
  <si>
    <t xml:space="preserve">There are two ways of doing this: addition and multiplication. </t>
  </si>
  <si>
    <t>How do you add vectors?</t>
  </si>
  <si>
    <t xml:space="preserve"> You can add vectors together by adding their numerical values, matching dimension with dimension.</t>
  </si>
  <si>
    <t>Can I add a one-dimensional vector to a two-dimensional vector?</t>
  </si>
  <si>
    <t>No, two vectors can only be added if they are the same dimensional size.</t>
  </si>
  <si>
    <t>How does multiplication work in vectors?</t>
  </si>
  <si>
    <t>Multiplication works by scaling up or scaling down all the elements of a vector. So suppose we want to increase the size of a vector V1 by 3 and the vector is two-dimensional (x1, y1), then 3V1 = ( 3x1, 3y1). This multiplication factor is called a scalar.</t>
  </si>
  <si>
    <t xml:space="preserve">Can you multiply vectors together? </t>
  </si>
  <si>
    <t>That is possible, but there are different rules for doing that, depending on what you are trying to find out. In our example of the shark-tuna space, it’s not clear what multiplying one data point by another might mean, so multiplying in this case doesn’t make sense.</t>
  </si>
  <si>
    <t xml:space="preserve">What if the scalar is less than 1 or a negative number? </t>
  </si>
  <si>
    <t>When we multiply by a number less than 1, we reduce the magnitude of a vector. If the scalar is 0.5, then the resulting vector is half the size of the original vector. When we multiply by a negative number, it changes the direction of a vector. So when the scalar is -1, the magnitude of the vector is unchanged, but the direction is reversed.</t>
  </si>
  <si>
    <t xml:space="preserve">What are trajectories? </t>
  </si>
  <si>
    <t>The changes to a system can be thought of as the trajectory or path followed from one state space location to another, those locations being described by vectors.</t>
  </si>
  <si>
    <t>What is a pitchfork bifurcation?</t>
  </si>
  <si>
    <t>A pitchfork bifurcation occurs when a change in a system's parameter causes an equilibrium point to change stability and two additional equilibrium points to emerge or disappear. The resulting bifurcation diagram resembles a pitchfork.</t>
  </si>
  <si>
    <t>How can a pitchfork bifurcation be used to model public opinion?</t>
  </si>
  <si>
    <t>It can describe how a population moves from a neutral or balanced opinion towards two alternative positions. As a parameter changes, a previously stable neutral state may become unstable, allowing two stable opposing opinions to emerge.</t>
  </si>
  <si>
    <t>What is the bifurcation parameter in a model of public opinion?</t>
  </si>
  <si>
    <t>The bifurcation parameter is a variable that controls the behaviour of the system. In a public opinion model, it might represent the strength of social influence or the tendency towards opinion polarisation. Changing this parameter can alter the number and stability of equilibrium points.</t>
  </si>
  <si>
    <t>What happens to the equilibrium points in a supercritical pitchfork bifurcation?</t>
  </si>
  <si>
    <t>Before the critical parameter value, there is one stable equilibrium point. At the critical value, a bifurcation occurs. Beyond this point, the original equilibrium becomes unstable and two new stable equilibria appear.</t>
  </si>
  <si>
    <t>What is a transcritical bifurcation?</t>
  </si>
  <si>
    <t>A transcritical bifurcation occurs when two equilibrium branches intersect and exchange stability as a parameter passes through a critical value.</t>
  </si>
  <si>
    <t>How does a transcritical bifurcation differ from a pitchfork bifurcation?</t>
  </si>
  <si>
    <t>In a pitchfork bifurcation, two additional equilibrium branches emerge or disappear at a critical point. In a transcritical bifurcation, two existing equilibrium branches cross and exchange stability.</t>
  </si>
  <si>
    <t>How can we determine whether an equilibrium point is stable or unstable?</t>
  </si>
  <si>
    <t>For a one-dimensional differential equation, we examine the derivative of the function describing the system at the equilibrium point. A negative derivative indicates local stability, while a positive derivative indicates instability. A zero derivative requires further analysis.</t>
  </si>
  <si>
    <t>Why are bifurcations important in understanding dynamic systems?</t>
  </si>
  <si>
    <t>Bifurcations help us understand how small changes in a system's parameters can produce qualitative changes in its behaviour, such as changes in the number or stability of equilibria. They are useful for studying phenomena in biology, physics, economics and social systems.</t>
  </si>
  <si>
    <t>Lesson 2</t>
    <phoneticPr fontId="16" type="noConversion"/>
  </si>
  <si>
    <t xml:space="preserve">Suppose an animal population has two genotypes: black hawks and white doves.  They continually compete for the same food source.
Hawks always fight when they meet other birds. Doves never fight. They either let hawks eat all the food or share the food with another dove.
If a hawk competes with another hawk for food, its survival rate decreases by a factor of 3 when it fights and loses and increases by 2 if it wins. It has a 50% chance of winning. If it competes with a dove, it always increases its survival rate by 2 , since the dove doesn’t fight. A dove’s survival rate is unchanged if it meets a hawk. If it meets another dove, the food would increase its survival rate by the same value of 2, but it shares the food equally with the other dove.
What mixed population of hawks and doves will be a stable equilibrium? </t>
  </si>
  <si>
    <t xml:space="preserve">Mathematically, this sounds like a problem to find the equilibrium points of a differential equation with two variables. And specifically in biology this seems like a straightforward ecological system without any constraints on upper or lower limits where two genotypes interact. That calls for a game theoretic approach and the place to start is the payoff matrix for the hawk and dove encounters.
Let’s start with the Hawks. When a Hawk meets a Hawk, then 50% of the time the first hawk wins (+2), and 50% of the time it loses (-3). So expected payoff = (0.5 * 2) + (0.5*-3) = -0.5. If a Hawk meets a Dove, then that’s always +2, so payoff is +2. If a Dove meets a Hawk, it never competes for food, so there is no impact on survival, and payoff is 0. If a Dove meets another Dove, then the food (+2) is shared, so payoff is (0.5 * 2) = 1.
This gives the following payoff matrix:
	Hawk	Dove
Hawk	-0.5	2
Dove 	     0	1
Now for the differential equation that describes how the composition of a two genotype population changes depending on the fitness of the population genotypes:
 dX/dT = ( f(a) – f(b))*X*(1-X).
This is the replicator formula. In other words, the change in one genotypes’s proportion of a population over time (dX/dT) is calculated using two functions: the difference between that genotype’s fitness and the other genotype’s fitness (f (a) – f(b)) and the frequency with which that genotype competes with the other genotype, calculated as the product of their respective proportions of the total population. If one genotype’s proportion of the population is ¼, then the other genotype’s proportion is 1 – ¼, i.e. ¾.    
An equilibrium point is reached when dX/dT = 0. Mathematically, an equilibrium is reached when the population is all Hawks or all Doves, i.e. if X means the Hawk proportion of the population, when 1 – X = 0 or X= 0. But the question asks us to find an equilibrium that is a mixed population of Hawks and Doves. 
To find that equilibrium, we need to expand the expression (f(a) – f(b)) and solve for where (f(a) – f(b)) = 0. We can expand this expression by going back to the payoff matrix and adding in frequency information. Assume again that X is the proportion of Hawks in a population.  Then the Hawk’s fitness will be:
(-0.5 (payoff or fitness) * X (proportion of Hawks and frequency of meeting a Hawk) +
(2 (payoff or fitness) * (1 – X) (proportion of Doves and frequency of meeting a Dove)
= -0.5X + 2(1 – X)
= 2 – 2.5X
Similarly for Doves:         
( 0 (payoff or fitness) * X (proportion of Hawks and frequency of meeting a Hawk) +
(1 (payoff or fitness) * (1 – X) (proportion of Doves and frequency of meeting a Dove)
= 0 + ( 1  – X)
= 1 –  X.
So the mixed equilibrium point will be where:
 2 – 2.5 X = 1 – X
 1 – 1.5X = 0
 2/3 = X. 
So the Hawk population, as the fitter genotype, is ⅔ of the population and the Doves are therefore ⅓. </t>
  </si>
  <si>
    <t>Suppose a small community is discussing a proposal to build a new public park.
Initially, most residents have neutral opinions. Some support the proposal, while others oppose it, but the community generally remains balanced.
As public discussions become more frequent, residents are increasingly influenced by the views of their neighbours.
Eventually, two distinct groups emerge: one strongly supports the park, while the other strongly opposes it. The previously neutral position becomes less stable.
Question:
How can a pitchfork bifurcation explain this change in public opinion? What happens to the stability of the neutral position as social influence increases?</t>
  </si>
  <si>
    <t>This situation can be explained using a supercritical pitchfork bifurcation.
Step 1: Identify the initial equilibrium
Initially, the community has a stable neutral position. Small changes in individual opinions do not significantly affect the overall balance, and public opinion tends to return towards neutrality.
Step 2: Identify the changing parameter
The strength of social influence acts as the bifurcation parameter. As residents interact more frequently and become more influenced by their neighbours, this parameter increases.
Step 3: Explain the bifurcation
When social influence reaches a critical level, the neutral equilibrium loses stability. Two new stable equilibria emerge, representing strong support for and strong opposition to the proposal.
Step 4: Interpret the outcome
The community's overall opinion may move towards either of the two stable positions. Small differences in initial opinions or external influences may determine which position becomes dominant.
Conclusion
A pitchfork bifurcation demonstrates how a gradual increase in social influence can transform a stable, balanced public opinion into two alternative stable states. This illustrates how a relatively small change in a system's conditions can produce a significant change in its behaviour.</t>
  </si>
  <si>
    <t>Wikipedia</t>
    <phoneticPr fontId="16" type="noConversion"/>
  </si>
  <si>
    <t>State Space Representation.</t>
    <phoneticPr fontId="16" type="noConversion"/>
  </si>
  <si>
    <t>MIT Open Courseware</t>
    <phoneticPr fontId="16" type="noConversion"/>
  </si>
  <si>
    <t>Feeedback and Control Systems, State Space: Linear Systems, lectures 9-13.</t>
    <phoneticPr fontId="16" type="noConversion"/>
  </si>
  <si>
    <t>Three examples of one-dimensional state spaces</t>
    <phoneticPr fontId="16" type="noConversion"/>
  </si>
  <si>
    <t>Three examples of one-dimensional state spaces: voltage, population size, and the fraction of a wolf population that has black fur</t>
    <phoneticPr fontId="16" type="noConversion"/>
  </si>
  <si>
    <t>E03</t>
    <phoneticPr fontId="16" type="noConversion"/>
  </si>
  <si>
    <t>E04</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</si>
</sst>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 mmm\ yyyy"/>
  </numFmts>
  <fonts count="17">
    <font>
      <sz val="11"/>
      <color theme="1"/>
      <name val="Calibri"/>
      <family val="2"/>
      <charset val="1"/>
    </font>
    <font>
      <b/>
      <sz val="14"/>
      <color rgb="FF111827"/>
      <name val="Arial"/>
      <charset val="1"/>
    </font>
    <font>
      <i/>
      <sz val="9"/>
      <color rgb="FF6B7280"/>
      <name val="Arial"/>
      <charset val="1"/>
    </font>
    <font>
      <b/>
      <sz val="10"/>
      <color rgb="FF111827"/>
      <name val="Arial"/>
      <charset val="1"/>
    </font>
    <font>
      <sz val="10"/>
      <color rgb="FF111827"/>
      <name val="Arial"/>
      <charset val="1"/>
    </font>
    <font>
      <sz val="9"/>
      <color rgb="FF6B7280"/>
      <name val="Arial"/>
      <charset val="1"/>
    </font>
    <font>
      <b/>
      <sz val="10"/>
      <color rgb="FFFFFFFF"/>
      <name val="Arial"/>
      <charset val="1"/>
    </font>
    <font>
      <sz val="8"/>
      <color rgb="FF9CA3AF"/>
      <name val="Arial"/>
      <charset val="1"/>
    </font>
    <font>
      <b/>
      <sz val="10"/>
      <color rgb="FFFFFFFF"/>
      <name val="Noto Sans CJK SC"/>
      <family val="2"/>
    </font>
    <font>
      <sz val="9"/>
      <color rgb="FF6B7280"/>
      <name val="Noto Sans CJK SC"/>
      <family val="2"/>
    </font>
    <font>
      <b/>
      <sz val="10"/>
      <color rgb="FF111827"/>
      <name val="Noto Sans CJK SC"/>
      <family val="2"/>
    </font>
    <font>
      <sz val="10"/>
      <color rgb="FF111827"/>
      <name val="Noto Sans CJK SC"/>
      <family val="2"/>
    </font>
    <font>
      <b/>
      <sz val="10"/>
      <color rgb="FFFFFFFF"/>
      <name val="Arial"/>
      <family val="2"/>
    </font>
    <font>
      <sz val="9"/>
      <color rgb="FF6B7280"/>
      <name val="Arial"/>
      <family val="2"/>
    </font>
    <font>
      <b/>
      <sz val="10"/>
      <color rgb="FF111827"/>
      <name val="Arial"/>
      <family val="2"/>
    </font>
    <font>
      <sz val="10"/>
      <color rgb="FF111827"/>
      <name val="Arial"/>
      <family val="2"/>
    </font>
    <font>
      <sz val="9"/>
      <name val="BDZongYi-A001"/>
      <family val="3"/>
      <charset val="134"/>
    </font>
  </fonts>
  <fills count="9">
    <fill>
      <patternFill patternType="none"/>
    </fill>
    <fill>
      <patternFill patternType="gray125"/>
    </fill>
    <fill>
      <patternFill patternType="solid">
        <fgColor rgb="FFE8EEF9"/>
        <bgColor rgb="FFEEF0F3"/>
      </patternFill>
    </fill>
    <fill>
      <patternFill patternType="solid">
        <fgColor rgb="FFFFF8DB"/>
        <bgColor rgb="FFFFF1C9"/>
      </patternFill>
    </fill>
    <fill>
      <patternFill patternType="solid">
        <fgColor rgb="FFEEF0F3"/>
        <bgColor rgb="FFE8EEF9"/>
      </patternFill>
    </fill>
    <fill>
      <patternFill patternType="solid">
        <fgColor rgb="FFF4F9F1"/>
        <bgColor rgb="FFF7F7F8"/>
      </patternFill>
    </fill>
    <fill>
      <patternFill patternType="solid">
        <fgColor rgb="FF1F2A44"/>
        <bgColor rgb="FF111827"/>
      </patternFill>
    </fill>
    <fill>
      <patternFill patternType="solid">
        <fgColor rgb="FFF7F7F8"/>
        <bgColor rgb="FFF4F9F1"/>
      </patternFill>
    </fill>
    <fill>
      <patternFill patternType="solid">
        <fgColor rgb="FFFFF1C9"/>
        <bgColor rgb="FFFFF8DB"/>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34">
    <xf numFmtId="0" fontId="0" fillId="0" borderId="0" xfId="0"/>
    <xf numFmtId="176" fontId="4" fillId="4" borderId="1" xfId="0" applyNumberFormat="1" applyFont="1" applyFill="1" applyBorder="1" applyAlignment="1">
      <alignment vertical="top" wrapText="1"/>
    </xf>
    <xf numFmtId="0" fontId="3" fillId="0" borderId="1" xfId="0" applyFont="1" applyBorder="1" applyAlignment="1">
      <alignment horizontal="center" vertical="top" wrapText="1"/>
    </xf>
    <xf numFmtId="176" fontId="4" fillId="3" borderId="1" xfId="0" applyNumberFormat="1" applyFont="1" applyFill="1" applyBorder="1" applyAlignment="1">
      <alignment vertical="top" wrapText="1"/>
    </xf>
    <xf numFmtId="0" fontId="4" fillId="3" borderId="1" xfId="0" applyFont="1" applyFill="1" applyBorder="1" applyAlignment="1">
      <alignment horizontal="left" vertical="top"/>
    </xf>
    <xf numFmtId="0" fontId="4" fillId="3" borderId="1" xfId="0" applyFont="1" applyFill="1" applyBorder="1" applyAlignment="1">
      <alignment vertical="top" wrapText="1"/>
    </xf>
    <xf numFmtId="0" fontId="5" fillId="0" borderId="0" xfId="0" applyFont="1" applyAlignment="1">
      <alignment vertical="top" wrapText="1"/>
    </xf>
    <xf numFmtId="0" fontId="4" fillId="4" borderId="1" xfId="0" applyFont="1" applyFill="1" applyBorder="1"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1" fillId="0" borderId="0" xfId="0" applyFont="1"/>
    <xf numFmtId="0" fontId="4" fillId="0" borderId="1" xfId="0" applyFont="1" applyBorder="1" applyAlignment="1">
      <alignment vertical="top" wrapText="1"/>
    </xf>
    <xf numFmtId="0" fontId="3" fillId="0" borderId="1" xfId="0" applyFont="1" applyBorder="1" applyAlignment="1">
      <alignment vertical="top" wrapText="1"/>
    </xf>
    <xf numFmtId="0" fontId="4" fillId="4" borderId="1" xfId="0" applyFont="1" applyFill="1" applyBorder="1" applyAlignment="1">
      <alignment vertical="top" wrapText="1"/>
    </xf>
    <xf numFmtId="0" fontId="4" fillId="3" borderId="1" xfId="0" applyFont="1" applyFill="1" applyBorder="1" applyAlignment="1">
      <alignment vertical="top" wrapText="1"/>
    </xf>
    <xf numFmtId="176" fontId="4" fillId="3" borderId="1" xfId="0" applyNumberFormat="1"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176" fontId="4" fillId="3" borderId="1" xfId="0" applyNumberFormat="1" applyFont="1" applyFill="1" applyBorder="1" applyAlignment="1">
      <alignment horizontal="center" vertical="top" wrapText="1"/>
    </xf>
    <xf numFmtId="0" fontId="7" fillId="0" borderId="0" xfId="0" applyFont="1"/>
    <xf numFmtId="0" fontId="2" fillId="0" borderId="0" xfId="0" applyFont="1"/>
    <xf numFmtId="0" fontId="3" fillId="0" borderId="1" xfId="0" applyFont="1" applyBorder="1" applyAlignment="1">
      <alignment horizontal="center" vertical="top" wrapText="1"/>
    </xf>
    <xf numFmtId="0" fontId="4" fillId="7" borderId="1" xfId="0" applyFont="1" applyFill="1" applyBorder="1" applyAlignment="1">
      <alignment vertical="top" wrapText="1"/>
    </xf>
    <xf numFmtId="0" fontId="5" fillId="0" borderId="1" xfId="0" applyFont="1" applyBorder="1" applyAlignment="1">
      <alignment vertical="top" wrapText="1"/>
    </xf>
    <xf numFmtId="0" fontId="4" fillId="5" borderId="1" xfId="0" applyFont="1" applyFill="1" applyBorder="1" applyAlignment="1">
      <alignment vertical="top" wrapText="1"/>
    </xf>
    <xf numFmtId="0" fontId="3" fillId="8" borderId="1" xfId="0" applyFont="1" applyFill="1" applyBorder="1" applyAlignment="1">
      <alignment vertical="top" wrapText="1"/>
    </xf>
    <xf numFmtId="0" fontId="3" fillId="0" borderId="0" xfId="0" applyFont="1"/>
    <xf numFmtId="0" fontId="4" fillId="0" borderId="0" xfId="0" applyFont="1"/>
    <xf numFmtId="0" fontId="15" fillId="3" borderId="1" xfId="0" applyFont="1" applyFill="1" applyBorder="1" applyAlignment="1">
      <alignment vertical="top" wrapText="1"/>
    </xf>
    <xf numFmtId="0" fontId="15" fillId="3" borderId="1" xfId="0" applyFont="1" applyFill="1" applyBorder="1" applyAlignment="1">
      <alignment vertical="top" wrapText="1"/>
    </xf>
    <xf numFmtId="0" fontId="15" fillId="4" borderId="1" xfId="0" applyFont="1" applyFill="1" applyBorder="1" applyAlignment="1">
      <alignment vertical="top" wrapText="1"/>
    </xf>
    <xf numFmtId="20" fontId="4" fillId="3" borderId="1" xfId="0" applyNumberFormat="1" applyFont="1" applyFill="1" applyBorder="1" applyAlignment="1">
      <alignment horizontal="center" vertical="top" wrapText="1"/>
    </xf>
    <xf numFmtId="20" fontId="4" fillId="3" borderId="1" xfId="0" applyNumberFormat="1" applyFont="1" applyFill="1" applyBorder="1" applyAlignment="1">
      <alignment horizontal="left" vertical="top" wrapText="1"/>
    </xf>
  </cellXfs>
  <cellStyles count="1">
    <cellStyle name="常规" xfId="0" builtinId="0"/>
  </cellStyles>
  <dxfs count="9">
    <dxf>
      <fill>
        <patternFill>
          <bgColor rgb="FFEEF0F3"/>
        </patternFill>
      </fill>
    </dxf>
    <dxf>
      <fill>
        <patternFill>
          <bgColor rgb="FFFDE0DC"/>
        </patternFill>
      </fill>
    </dxf>
    <dxf>
      <fill>
        <patternFill>
          <bgColor rgb="FFFFF1C9"/>
        </patternFill>
      </fill>
    </dxf>
    <dxf>
      <fill>
        <patternFill>
          <bgColor rgb="FFD1F2DE"/>
        </patternFill>
      </fill>
    </dxf>
    <dxf>
      <font>
        <b/>
        <color rgb="FFB54708"/>
        <name val="Arial"/>
        <charset val="1"/>
      </font>
      <fill>
        <patternFill>
          <bgColor rgb="FFFFE2B8"/>
        </patternFill>
      </fill>
    </dxf>
    <dxf>
      <font>
        <color rgb="FFB42318"/>
        <name val="Arial"/>
        <charset val="1"/>
      </font>
      <fill>
        <patternFill>
          <bgColor rgb="FFFDE0DC"/>
        </patternFill>
      </fill>
    </dxf>
    <dxf>
      <font>
        <b/>
        <color rgb="FFB42318"/>
        <name val="Arial"/>
        <charset val="1"/>
      </font>
      <fill>
        <patternFill>
          <bgColor rgb="FFFDE0DC"/>
        </patternFill>
      </fill>
    </dxf>
    <dxf>
      <font>
        <b/>
        <color rgb="FF067647"/>
        <name val="Arial"/>
        <charset val="1"/>
      </font>
      <fill>
        <patternFill>
          <bgColor rgb="FFD1F2DE"/>
        </patternFill>
      </fill>
    </dxf>
    <dxf>
      <font>
        <color rgb="FF9CA3AF"/>
        <name val="Arial"/>
        <charset val="1"/>
      </font>
      <fill>
        <patternFill>
          <bgColor rgb="FFF3F4F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7647"/>
      <rgbColor rgb="FFFDE0DC"/>
      <rgbColor rgb="FF808080"/>
      <rgbColor rgb="FF9999FF"/>
      <rgbColor rgb="FFB54708"/>
      <rgbColor rgb="FFFFF8DB"/>
      <rgbColor rgb="FFE8EE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EF0F3"/>
      <rgbColor rgb="FFD1F2DE"/>
      <rgbColor rgb="FFFFF1C9"/>
      <rgbColor rgb="FFF3F4F6"/>
      <rgbColor rgb="FFF7F7F8"/>
      <rgbColor rgb="FFF4F9F1"/>
      <rgbColor rgb="FFFFE2B8"/>
      <rgbColor rgb="FF3366FF"/>
      <rgbColor rgb="FF33CCCC"/>
      <rgbColor rgb="FF99CC00"/>
      <rgbColor rgb="FFFFCC00"/>
      <rgbColor rgb="FFFF9900"/>
      <rgbColor rgb="FFFF6600"/>
      <rgbColor rgb="FF6B7280"/>
      <rgbColor rgb="FF9CA3AF"/>
      <rgbColor rgb="FF003366"/>
      <rgbColor rgb="FF339966"/>
      <rgbColor rgb="FF111827"/>
      <rgbColor rgb="FF333300"/>
      <rgbColor rgb="FFB42318"/>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5"/>
  <sheetViews>
    <sheetView showGridLines="0" zoomScaleNormal="100" workbookViewId="0">
      <pane ySplit="13" topLeftCell="A14" activePane="bottomLeft" state="frozen"/>
      <selection pane="bottomLeft" activeCell="B7" sqref="B7:D7"/>
    </sheetView>
  </sheetViews>
  <sheetFormatPr baseColWidth="10" defaultColWidth="8.6640625" defaultRowHeight="15"/>
  <cols>
    <col min="1" max="1" width="30" customWidth="1"/>
    <col min="2" max="2" width="56" customWidth="1"/>
    <col min="3" max="3" width="22" customWidth="1"/>
    <col min="4" max="4" width="11" customWidth="1"/>
    <col min="5" max="5" width="16" customWidth="1"/>
    <col min="6" max="6" width="22" customWidth="1"/>
    <col min="7" max="7" width="15" customWidth="1"/>
    <col min="8" max="8" width="30" customWidth="1"/>
    <col min="9" max="9" width="13" hidden="1" customWidth="1"/>
  </cols>
  <sheetData>
    <row r="1" spans="1:9" ht="18">
      <c r="A1" s="10" t="s">
        <v>3</v>
      </c>
    </row>
    <row r="2" spans="1:9" ht="30" customHeight="1">
      <c r="A2" s="9" t="s">
        <v>4</v>
      </c>
      <c r="B2" s="9"/>
      <c r="C2" s="9"/>
      <c r="D2" s="9"/>
      <c r="E2" s="9"/>
      <c r="F2" s="9"/>
      <c r="G2" s="9"/>
      <c r="H2" s="9"/>
    </row>
    <row r="4" spans="1:9" ht="15" customHeight="1">
      <c r="A4" s="12" t="s">
        <v>5</v>
      </c>
      <c r="B4" s="7" t="str">
        <f>IF('Course info'!B5="","",'Course info'!B5)</f>
        <v>Modeling life</v>
      </c>
      <c r="C4" s="7"/>
      <c r="D4" s="7"/>
      <c r="E4" s="6" t="s">
        <v>6</v>
      </c>
      <c r="F4" s="6"/>
      <c r="G4" s="6"/>
      <c r="H4" s="6"/>
    </row>
    <row r="5" spans="1:9" ht="15" customHeight="1">
      <c r="A5" s="12" t="s">
        <v>7</v>
      </c>
      <c r="B5" s="7" t="s">
        <v>8</v>
      </c>
      <c r="C5" s="7"/>
      <c r="D5" s="7"/>
      <c r="E5" s="6" t="s">
        <v>9</v>
      </c>
      <c r="F5" s="6"/>
      <c r="G5" s="6"/>
      <c r="H5" s="6"/>
    </row>
    <row r="6" spans="1:9" ht="22.25" customHeight="1">
      <c r="A6" s="12" t="s">
        <v>10</v>
      </c>
      <c r="B6" s="5" t="s">
        <v>75</v>
      </c>
      <c r="C6" s="5"/>
      <c r="D6" s="5"/>
      <c r="E6" s="6" t="s">
        <v>12</v>
      </c>
      <c r="F6" s="6"/>
      <c r="G6" s="6"/>
      <c r="H6" s="6"/>
    </row>
    <row r="7" spans="1:9" ht="15" customHeight="1">
      <c r="A7" s="12" t="s">
        <v>13</v>
      </c>
      <c r="B7" s="5" t="s">
        <v>14</v>
      </c>
      <c r="C7" s="5"/>
      <c r="D7" s="5"/>
      <c r="E7" s="6" t="s">
        <v>15</v>
      </c>
      <c r="F7" s="6"/>
      <c r="G7" s="6"/>
      <c r="H7" s="6"/>
    </row>
    <row r="8" spans="1:9" ht="15" customHeight="1">
      <c r="A8" s="12" t="s">
        <v>16</v>
      </c>
      <c r="B8" s="4">
        <v>2</v>
      </c>
      <c r="C8" s="4"/>
      <c r="D8" s="4"/>
      <c r="E8" s="6" t="s">
        <v>17</v>
      </c>
      <c r="F8" s="6"/>
      <c r="G8" s="6"/>
      <c r="H8" s="6"/>
    </row>
    <row r="9" spans="1:9" ht="15" customHeight="1">
      <c r="A9" s="12" t="s">
        <v>0</v>
      </c>
      <c r="B9" s="29" t="s">
        <v>187</v>
      </c>
      <c r="C9" s="5"/>
      <c r="D9" s="5"/>
      <c r="E9" s="6" t="s">
        <v>18</v>
      </c>
      <c r="F9" s="6"/>
      <c r="G9" s="6"/>
      <c r="H9" s="6"/>
    </row>
    <row r="10" spans="1:9">
      <c r="A10" s="12" t="s">
        <v>19</v>
      </c>
      <c r="B10" s="5"/>
      <c r="C10" s="5"/>
      <c r="D10" s="5"/>
    </row>
    <row r="11" spans="1:9">
      <c r="A11" s="12" t="s">
        <v>20</v>
      </c>
      <c r="B11" s="3"/>
      <c r="C11" s="3"/>
      <c r="D11" s="3"/>
    </row>
    <row r="13" spans="1:9" ht="30" customHeight="1">
      <c r="A13" s="16" t="s">
        <v>21</v>
      </c>
      <c r="B13" s="16" t="s">
        <v>22</v>
      </c>
      <c r="C13" s="16" t="s">
        <v>23</v>
      </c>
      <c r="D13" s="16" t="s">
        <v>24</v>
      </c>
      <c r="E13" s="16" t="s">
        <v>25</v>
      </c>
      <c r="F13" s="16" t="s">
        <v>26</v>
      </c>
      <c r="G13" s="16" t="s">
        <v>27</v>
      </c>
      <c r="H13" s="16" t="s">
        <v>28</v>
      </c>
    </row>
    <row r="14" spans="1:9">
      <c r="A14" s="17">
        <v>1</v>
      </c>
      <c r="B14" s="11" t="s">
        <v>29</v>
      </c>
      <c r="C14" s="11" t="s">
        <v>0</v>
      </c>
      <c r="D14" s="18" t="s">
        <v>30</v>
      </c>
      <c r="E14" s="18" t="s">
        <v>31</v>
      </c>
      <c r="F14" s="11" t="s">
        <v>32</v>
      </c>
      <c r="G14" s="19"/>
      <c r="H14" s="14"/>
      <c r="I14" s="20" t="s">
        <v>30</v>
      </c>
    </row>
    <row r="15" spans="1:9">
      <c r="A15" s="17">
        <v>2</v>
      </c>
      <c r="B15" s="11" t="s">
        <v>33</v>
      </c>
      <c r="C15" s="11" t="s">
        <v>0</v>
      </c>
      <c r="D15" s="18" t="s">
        <v>30</v>
      </c>
      <c r="E15" s="18" t="s">
        <v>31</v>
      </c>
      <c r="F15" s="11" t="s">
        <v>34</v>
      </c>
      <c r="G15" s="19"/>
      <c r="H15" s="14"/>
      <c r="I15" s="20" t="s">
        <v>30</v>
      </c>
    </row>
    <row r="16" spans="1:9">
      <c r="A16" s="17">
        <v>3</v>
      </c>
      <c r="B16" s="11" t="s">
        <v>35</v>
      </c>
      <c r="C16" s="11" t="s">
        <v>2</v>
      </c>
      <c r="D16" s="18" t="s">
        <v>30</v>
      </c>
      <c r="E16" s="18" t="s">
        <v>31</v>
      </c>
      <c r="F16" s="11" t="s">
        <v>36</v>
      </c>
      <c r="G16" s="19"/>
      <c r="H16" s="14"/>
      <c r="I16" s="20" t="s">
        <v>30</v>
      </c>
    </row>
    <row r="17" spans="1:9">
      <c r="A17" s="17">
        <v>4</v>
      </c>
      <c r="B17" s="11" t="s">
        <v>37</v>
      </c>
      <c r="C17" s="11" t="s">
        <v>1</v>
      </c>
      <c r="D17" s="18" t="s">
        <v>30</v>
      </c>
      <c r="E17" s="18" t="s">
        <v>31</v>
      </c>
      <c r="F17" s="11" t="s">
        <v>36</v>
      </c>
      <c r="G17" s="19"/>
      <c r="H17" s="14"/>
      <c r="I17" s="20" t="str">
        <f>IF(AND(OR($B$6="English &amp; Chinese",$B$6="English"),OR($B$7="Both",$B$7="Video")),"Yes","N/A")</f>
        <v>Yes</v>
      </c>
    </row>
    <row r="18" spans="1:9">
      <c r="A18" s="17">
        <v>5</v>
      </c>
      <c r="B18" s="11" t="s">
        <v>38</v>
      </c>
      <c r="C18" s="11" t="s">
        <v>1</v>
      </c>
      <c r="D18" s="18" t="s">
        <v>30</v>
      </c>
      <c r="E18" s="18" t="s">
        <v>31</v>
      </c>
      <c r="F18" s="11" t="s">
        <v>36</v>
      </c>
      <c r="G18" s="19"/>
      <c r="H18" s="14"/>
      <c r="I18" s="20" t="str">
        <f>IF(AND(OR($B$6="English &amp; Chinese",$B$6="Chinese"),OR($B$7="Both",$B$7="Video")),"Yes","N/A")</f>
        <v>N/A</v>
      </c>
    </row>
    <row r="19" spans="1:9">
      <c r="A19" s="17">
        <v>6</v>
      </c>
      <c r="B19" s="11" t="s">
        <v>39</v>
      </c>
      <c r="C19" s="11" t="s">
        <v>1</v>
      </c>
      <c r="D19" s="18" t="s">
        <v>30</v>
      </c>
      <c r="E19" s="18" t="s">
        <v>31</v>
      </c>
      <c r="F19" s="11" t="s">
        <v>34</v>
      </c>
      <c r="G19" s="19"/>
      <c r="H19" s="14"/>
      <c r="I19" s="20" t="str">
        <f>IF(AND(OR($B$6="English &amp; Chinese",$B$6="English"),OR($B$7="Both",$B$7="Video")),"Yes","N/A")</f>
        <v>Yes</v>
      </c>
    </row>
    <row r="20" spans="1:9">
      <c r="A20" s="17">
        <v>7</v>
      </c>
      <c r="B20" s="11" t="s">
        <v>40</v>
      </c>
      <c r="C20" s="11" t="s">
        <v>1</v>
      </c>
      <c r="D20" s="18" t="s">
        <v>30</v>
      </c>
      <c r="E20" s="18" t="s">
        <v>31</v>
      </c>
      <c r="F20" s="11" t="s">
        <v>34</v>
      </c>
      <c r="G20" s="19"/>
      <c r="H20" s="14"/>
      <c r="I20" s="20" t="str">
        <f>IF(AND(OR($B$6="English &amp; Chinese",$B$6="Chinese"),OR($B$7="Both",$B$7="Video")),"Yes","N/A")</f>
        <v>N/A</v>
      </c>
    </row>
    <row r="21" spans="1:9">
      <c r="A21" s="17">
        <v>8</v>
      </c>
      <c r="B21" s="11" t="s">
        <v>41</v>
      </c>
      <c r="C21" s="11" t="s">
        <v>1</v>
      </c>
      <c r="D21" s="18" t="s">
        <v>30</v>
      </c>
      <c r="E21" s="18" t="s">
        <v>31</v>
      </c>
      <c r="F21" s="11" t="s">
        <v>36</v>
      </c>
      <c r="G21" s="19"/>
      <c r="H21" s="14"/>
      <c r="I21" s="20" t="str">
        <f>IF(AND(OR($B$6="English &amp; Chinese",$B$6="English"),OR($B$7="Both",$B$7="Text")),"Yes","N/A")</f>
        <v>Yes</v>
      </c>
    </row>
    <row r="22" spans="1:9">
      <c r="A22" s="17">
        <v>9</v>
      </c>
      <c r="B22" s="11" t="s">
        <v>42</v>
      </c>
      <c r="C22" s="11" t="s">
        <v>1</v>
      </c>
      <c r="D22" s="18" t="s">
        <v>30</v>
      </c>
      <c r="E22" s="18" t="s">
        <v>31</v>
      </c>
      <c r="F22" s="11" t="s">
        <v>36</v>
      </c>
      <c r="G22" s="19"/>
      <c r="H22" s="14"/>
      <c r="I22" s="20" t="str">
        <f>IF(AND(OR($B$6="English &amp; Chinese",$B$6="Chinese"),OR($B$7="Both",$B$7="Text")),"Yes","N/A")</f>
        <v>N/A</v>
      </c>
    </row>
    <row r="23" spans="1:9">
      <c r="A23" s="17">
        <v>10</v>
      </c>
      <c r="B23" s="11" t="s">
        <v>43</v>
      </c>
      <c r="C23" s="11" t="s">
        <v>2</v>
      </c>
      <c r="D23" s="18" t="s">
        <v>30</v>
      </c>
      <c r="E23" s="18" t="s">
        <v>31</v>
      </c>
      <c r="F23" s="11" t="s">
        <v>36</v>
      </c>
      <c r="G23" s="19"/>
      <c r="H23" s="14"/>
      <c r="I23" s="20" t="s">
        <v>30</v>
      </c>
    </row>
    <row r="24" spans="1:9">
      <c r="A24" s="17">
        <v>11</v>
      </c>
      <c r="B24" s="11" t="s">
        <v>44</v>
      </c>
      <c r="C24" s="11" t="s">
        <v>0</v>
      </c>
      <c r="D24" s="18" t="s">
        <v>30</v>
      </c>
      <c r="E24" s="18" t="s">
        <v>31</v>
      </c>
      <c r="F24" s="11" t="s">
        <v>45</v>
      </c>
      <c r="G24" s="19"/>
      <c r="H24" s="14"/>
      <c r="I24" s="20" t="s">
        <v>30</v>
      </c>
    </row>
    <row r="25" spans="1:9">
      <c r="A25" s="17">
        <v>12</v>
      </c>
      <c r="B25" s="11" t="s">
        <v>46</v>
      </c>
      <c r="C25" s="11" t="s">
        <v>0</v>
      </c>
      <c r="D25" s="18" t="s">
        <v>30</v>
      </c>
      <c r="E25" s="18" t="s">
        <v>31</v>
      </c>
      <c r="F25" s="11" t="s">
        <v>47</v>
      </c>
      <c r="G25" s="19"/>
      <c r="H25" s="14"/>
      <c r="I25" s="20" t="s">
        <v>30</v>
      </c>
    </row>
    <row r="26" spans="1:9">
      <c r="A26" s="17">
        <v>13</v>
      </c>
      <c r="B26" s="11" t="s">
        <v>48</v>
      </c>
      <c r="C26" s="11" t="s">
        <v>0</v>
      </c>
      <c r="D26" s="18" t="s">
        <v>30</v>
      </c>
      <c r="E26" s="18" t="s">
        <v>31</v>
      </c>
      <c r="F26" s="11" t="s">
        <v>49</v>
      </c>
      <c r="G26" s="19"/>
      <c r="H26" s="14"/>
      <c r="I26" s="20" t="s">
        <v>30</v>
      </c>
    </row>
    <row r="27" spans="1:9">
      <c r="A27" s="17">
        <v>14</v>
      </c>
      <c r="B27" s="11" t="s">
        <v>50</v>
      </c>
      <c r="C27" s="11" t="s">
        <v>0</v>
      </c>
      <c r="D27" s="18" t="s">
        <v>30</v>
      </c>
      <c r="E27" s="18" t="s">
        <v>31</v>
      </c>
      <c r="F27" s="11" t="s">
        <v>51</v>
      </c>
      <c r="G27" s="19"/>
      <c r="H27" s="14"/>
      <c r="I27" s="20" t="s">
        <v>30</v>
      </c>
    </row>
    <row r="28" spans="1:9">
      <c r="B28" s="21" t="s">
        <v>52</v>
      </c>
    </row>
    <row r="30" spans="1:9" ht="15" customHeight="1">
      <c r="A30" s="8" t="s">
        <v>53</v>
      </c>
      <c r="B30" s="8"/>
      <c r="C30" s="8"/>
      <c r="D30" s="8"/>
      <c r="E30" s="8"/>
      <c r="F30" s="8"/>
      <c r="G30" s="8"/>
      <c r="H30" s="8"/>
    </row>
    <row r="31" spans="1:9">
      <c r="A31" s="12" t="s">
        <v>54</v>
      </c>
      <c r="B31" s="17" t="str">
        <f>COUNTIFS(Lessons!$A:$A,"Lesson title (EN)",Lessons!$B:$B,"&lt;&gt;")&amp;" / "&amp;$B$8</f>
        <v>2 / 2</v>
      </c>
    </row>
    <row r="32" spans="1:9" ht="30" customHeight="1">
      <c r="A32" s="16" t="s">
        <v>55</v>
      </c>
      <c r="B32" s="16" t="s">
        <v>56</v>
      </c>
      <c r="C32" s="16" t="s">
        <v>57</v>
      </c>
      <c r="D32" s="16" t="s">
        <v>58</v>
      </c>
      <c r="E32" s="16" t="s">
        <v>59</v>
      </c>
    </row>
    <row r="33" spans="1:5">
      <c r="A33" s="17" t="str">
        <f>IF(1&lt;=$B$8,"Lesson 1","")</f>
        <v>Lesson 1</v>
      </c>
      <c r="B33" s="17">
        <f>IF($A33="","",COUNTIF('Knowledge test'!$B:$B,$A33))</f>
        <v>18</v>
      </c>
      <c r="C33" s="17">
        <f>IF($A33="","",COUNTIF('Application test'!$B:$B,$A33))</f>
        <v>1</v>
      </c>
      <c r="D33" s="17">
        <f>IF($A33="","",COUNTIF(Exhibits!$B:$B,$A33))</f>
        <v>2</v>
      </c>
      <c r="E33" s="17">
        <f>IF($A33="","",COUNTIF('Reading list'!$B:$B,$A33))</f>
        <v>3</v>
      </c>
    </row>
    <row r="34" spans="1:5">
      <c r="A34" s="17" t="str">
        <f>IF(2&lt;=$B$8,"Lesson 2","")</f>
        <v>Lesson 2</v>
      </c>
      <c r="B34" s="17">
        <f>IF($A34="","",COUNTIF('Knowledge test'!$B:$B,$A34))</f>
        <v>8</v>
      </c>
      <c r="C34" s="17">
        <f>IF($A34="","",COUNTIF('Application test'!$B:$B,$A34))</f>
        <v>1</v>
      </c>
      <c r="D34" s="17">
        <f>IF($A34="","",COUNTIF(Exhibits!$B:$B,$A34))</f>
        <v>2</v>
      </c>
      <c r="E34" s="17">
        <f>IF($A34="","",COUNTIF('Reading list'!$B:$B,$A34))</f>
        <v>3</v>
      </c>
    </row>
    <row r="35" spans="1:5">
      <c r="A35" s="17" t="str">
        <f>IF(3&lt;=$B$8,"Lesson 3","")</f>
        <v/>
      </c>
      <c r="B35" s="17" t="str">
        <f>IF($A35="","",COUNTIF('Knowledge test'!$B:$B,$A35))</f>
        <v/>
      </c>
      <c r="C35" s="17" t="str">
        <f>IF($A35="","",COUNTIF('Application test'!$B:$B,$A35))</f>
        <v/>
      </c>
      <c r="D35" s="17" t="str">
        <f>IF($A35="","",COUNTIF(Exhibits!$B:$B,$A35))</f>
        <v/>
      </c>
      <c r="E35" s="17" t="str">
        <f>IF($A35="","",COUNTIF('Reading list'!$B:$B,$A35))</f>
        <v/>
      </c>
    </row>
    <row r="36" spans="1:5">
      <c r="A36" s="17" t="str">
        <f>IF(4&lt;=$B$8,"Lesson 4","")</f>
        <v/>
      </c>
      <c r="B36" s="17" t="str">
        <f>IF($A36="","",COUNTIF('Knowledge test'!$B:$B,$A36))</f>
        <v/>
      </c>
      <c r="C36" s="17" t="str">
        <f>IF($A36="","",COUNTIF('Application test'!$B:$B,$A36))</f>
        <v/>
      </c>
      <c r="D36" s="17" t="str">
        <f>IF($A36="","",COUNTIF(Exhibits!$B:$B,$A36))</f>
        <v/>
      </c>
      <c r="E36" s="17" t="str">
        <f>IF($A36="","",COUNTIF('Reading list'!$B:$B,$A36))</f>
        <v/>
      </c>
    </row>
    <row r="37" spans="1:5">
      <c r="A37" s="17" t="str">
        <f>IF(5&lt;=$B$8,"Lesson 5","")</f>
        <v/>
      </c>
      <c r="B37" s="17" t="str">
        <f>IF($A37="","",COUNTIF('Knowledge test'!$B:$B,$A37))</f>
        <v/>
      </c>
      <c r="C37" s="17" t="str">
        <f>IF($A37="","",COUNTIF('Application test'!$B:$B,$A37))</f>
        <v/>
      </c>
      <c r="D37" s="17" t="str">
        <f>IF($A37="","",COUNTIF(Exhibits!$B:$B,$A37))</f>
        <v/>
      </c>
      <c r="E37" s="17" t="str">
        <f>IF($A37="","",COUNTIF('Reading list'!$B:$B,$A37))</f>
        <v/>
      </c>
    </row>
    <row r="38" spans="1:5">
      <c r="A38" s="17" t="str">
        <f>IF(6&lt;=$B$8,"Lesson 6","")</f>
        <v/>
      </c>
      <c r="B38" s="17" t="str">
        <f>IF($A38="","",COUNTIF('Knowledge test'!$B:$B,$A38))</f>
        <v/>
      </c>
      <c r="C38" s="17" t="str">
        <f>IF($A38="","",COUNTIF('Application test'!$B:$B,$A38))</f>
        <v/>
      </c>
      <c r="D38" s="17" t="str">
        <f>IF($A38="","",COUNTIF(Exhibits!$B:$B,$A38))</f>
        <v/>
      </c>
      <c r="E38" s="17" t="str">
        <f>IF($A38="","",COUNTIF('Reading list'!$B:$B,$A38))</f>
        <v/>
      </c>
    </row>
    <row r="39" spans="1:5">
      <c r="A39" s="17" t="str">
        <f>IF(7&lt;=$B$8,"Lesson 7","")</f>
        <v/>
      </c>
      <c r="B39" s="17" t="str">
        <f>IF($A39="","",COUNTIF('Knowledge test'!$B:$B,$A39))</f>
        <v/>
      </c>
      <c r="C39" s="17" t="str">
        <f>IF($A39="","",COUNTIF('Application test'!$B:$B,$A39))</f>
        <v/>
      </c>
      <c r="D39" s="17" t="str">
        <f>IF($A39="","",COUNTIF(Exhibits!$B:$B,$A39))</f>
        <v/>
      </c>
      <c r="E39" s="17" t="str">
        <f>IF($A39="","",COUNTIF('Reading list'!$B:$B,$A39))</f>
        <v/>
      </c>
    </row>
    <row r="40" spans="1:5">
      <c r="A40" s="17" t="str">
        <f>IF(8&lt;=$B$8,"Lesson 8","")</f>
        <v/>
      </c>
      <c r="B40" s="17" t="str">
        <f>IF($A40="","",COUNTIF('Knowledge test'!$B:$B,$A40))</f>
        <v/>
      </c>
      <c r="C40" s="17" t="str">
        <f>IF($A40="","",COUNTIF('Application test'!$B:$B,$A40))</f>
        <v/>
      </c>
      <c r="D40" s="17" t="str">
        <f>IF($A40="","",COUNTIF(Exhibits!$B:$B,$A40))</f>
        <v/>
      </c>
      <c r="E40" s="17" t="str">
        <f>IF($A40="","",COUNTIF('Reading list'!$B:$B,$A40))</f>
        <v/>
      </c>
    </row>
    <row r="41" spans="1:5">
      <c r="A41" s="17" t="str">
        <f>IF(9&lt;=$B$8,"Lesson 9","")</f>
        <v/>
      </c>
      <c r="B41" s="17" t="str">
        <f>IF($A41="","",COUNTIF('Knowledge test'!$B:$B,$A41))</f>
        <v/>
      </c>
      <c r="C41" s="17" t="str">
        <f>IF($A41="","",COUNTIF('Application test'!$B:$B,$A41))</f>
        <v/>
      </c>
      <c r="D41" s="17" t="str">
        <f>IF($A41="","",COUNTIF(Exhibits!$B:$B,$A41))</f>
        <v/>
      </c>
      <c r="E41" s="17" t="str">
        <f>IF($A41="","",COUNTIF('Reading list'!$B:$B,$A41))</f>
        <v/>
      </c>
    </row>
    <row r="42" spans="1:5">
      <c r="A42" s="17" t="str">
        <f>IF(10&lt;=$B$8,"Lesson 10","")</f>
        <v/>
      </c>
      <c r="B42" s="17" t="str">
        <f>IF($A42="","",COUNTIF('Knowledge test'!$B:$B,$A42))</f>
        <v/>
      </c>
      <c r="C42" s="17" t="str">
        <f>IF($A42="","",COUNTIF('Application test'!$B:$B,$A42))</f>
        <v/>
      </c>
      <c r="D42" s="17" t="str">
        <f>IF($A42="","",COUNTIF(Exhibits!$B:$B,$A42))</f>
        <v/>
      </c>
      <c r="E42" s="17" t="str">
        <f>IF($A42="","",COUNTIF('Reading list'!$B:$B,$A42))</f>
        <v/>
      </c>
    </row>
    <row r="43" spans="1:5">
      <c r="A43" s="17" t="str">
        <f>IF(11&lt;=$B$8,"Lesson 11","")</f>
        <v/>
      </c>
      <c r="B43" s="17" t="str">
        <f>IF($A43="","",COUNTIF('Knowledge test'!$B:$B,$A43))</f>
        <v/>
      </c>
      <c r="C43" s="17" t="str">
        <f>IF($A43="","",COUNTIF('Application test'!$B:$B,$A43))</f>
        <v/>
      </c>
      <c r="D43" s="17" t="str">
        <f>IF($A43="","",COUNTIF(Exhibits!$B:$B,$A43))</f>
        <v/>
      </c>
      <c r="E43" s="17" t="str">
        <f>IF($A43="","",COUNTIF('Reading list'!$B:$B,$A43))</f>
        <v/>
      </c>
    </row>
    <row r="44" spans="1:5">
      <c r="A44" s="17" t="str">
        <f>IF(12&lt;=$B$8,"Lesson 12","")</f>
        <v/>
      </c>
      <c r="B44" s="17" t="str">
        <f>IF($A44="","",COUNTIF('Knowledge test'!$B:$B,$A44))</f>
        <v/>
      </c>
      <c r="C44" s="17" t="str">
        <f>IF($A44="","",COUNTIF('Application test'!$B:$B,$A44))</f>
        <v/>
      </c>
      <c r="D44" s="17" t="str">
        <f>IF($A44="","",COUNTIF(Exhibits!$B:$B,$A44))</f>
        <v/>
      </c>
      <c r="E44" s="17" t="str">
        <f>IF($A44="","",COUNTIF('Reading list'!$B:$B,$A44))</f>
        <v/>
      </c>
    </row>
    <row r="45" spans="1:5">
      <c r="A45" s="17" t="str">
        <f>IF(13&lt;=$B$8,"Lesson 13","")</f>
        <v/>
      </c>
      <c r="B45" s="17" t="str">
        <f>IF($A45="","",COUNTIF('Knowledge test'!$B:$B,$A45))</f>
        <v/>
      </c>
      <c r="C45" s="17" t="str">
        <f>IF($A45="","",COUNTIF('Application test'!$B:$B,$A45))</f>
        <v/>
      </c>
      <c r="D45" s="17" t="str">
        <f>IF($A45="","",COUNTIF(Exhibits!$B:$B,$A45))</f>
        <v/>
      </c>
      <c r="E45" s="17" t="str">
        <f>IF($A45="","",COUNTIF('Reading list'!$B:$B,$A45))</f>
        <v/>
      </c>
    </row>
    <row r="46" spans="1:5">
      <c r="A46" s="17" t="str">
        <f>IF(14&lt;=$B$8,"Lesson 14","")</f>
        <v/>
      </c>
      <c r="B46" s="17" t="str">
        <f>IF($A46="","",COUNTIF('Knowledge test'!$B:$B,$A46))</f>
        <v/>
      </c>
      <c r="C46" s="17" t="str">
        <f>IF($A46="","",COUNTIF('Application test'!$B:$B,$A46))</f>
        <v/>
      </c>
      <c r="D46" s="17" t="str">
        <f>IF($A46="","",COUNTIF(Exhibits!$B:$B,$A46))</f>
        <v/>
      </c>
      <c r="E46" s="17" t="str">
        <f>IF($A46="","",COUNTIF('Reading list'!$B:$B,$A46))</f>
        <v/>
      </c>
    </row>
    <row r="47" spans="1:5">
      <c r="A47" s="17" t="str">
        <f>IF(15&lt;=$B$8,"Lesson 15","")</f>
        <v/>
      </c>
      <c r="B47" s="17" t="str">
        <f>IF($A47="","",COUNTIF('Knowledge test'!$B:$B,$A47))</f>
        <v/>
      </c>
      <c r="C47" s="17" t="str">
        <f>IF($A47="","",COUNTIF('Application test'!$B:$B,$A47))</f>
        <v/>
      </c>
      <c r="D47" s="17" t="str">
        <f>IF($A47="","",COUNTIF(Exhibits!$B:$B,$A47))</f>
        <v/>
      </c>
      <c r="E47" s="17" t="str">
        <f>IF($A47="","",COUNTIF('Reading list'!$B:$B,$A47))</f>
        <v/>
      </c>
    </row>
    <row r="48" spans="1:5">
      <c r="A48" s="17" t="str">
        <f>IF(16&lt;=$B$8,"Lesson 16","")</f>
        <v/>
      </c>
      <c r="B48" s="17" t="str">
        <f>IF($A48="","",COUNTIF('Knowledge test'!$B:$B,$A48))</f>
        <v/>
      </c>
      <c r="C48" s="17" t="str">
        <f>IF($A48="","",COUNTIF('Application test'!$B:$B,$A48))</f>
        <v/>
      </c>
      <c r="D48" s="17" t="str">
        <f>IF($A48="","",COUNTIF(Exhibits!$B:$B,$A48))</f>
        <v/>
      </c>
      <c r="E48" s="17" t="str">
        <f>IF($A48="","",COUNTIF('Reading list'!$B:$B,$A48))</f>
        <v/>
      </c>
    </row>
    <row r="49" spans="1:8">
      <c r="A49" s="17" t="str">
        <f>IF(17&lt;=$B$8,"Lesson 17","")</f>
        <v/>
      </c>
      <c r="B49" s="17" t="str">
        <f>IF($A49="","",COUNTIF('Knowledge test'!$B:$B,$A49))</f>
        <v/>
      </c>
      <c r="C49" s="17" t="str">
        <f>IF($A49="","",COUNTIF('Application test'!$B:$B,$A49))</f>
        <v/>
      </c>
      <c r="D49" s="17" t="str">
        <f>IF($A49="","",COUNTIF(Exhibits!$B:$B,$A49))</f>
        <v/>
      </c>
      <c r="E49" s="17" t="str">
        <f>IF($A49="","",COUNTIF('Reading list'!$B:$B,$A49))</f>
        <v/>
      </c>
    </row>
    <row r="50" spans="1:8">
      <c r="A50" s="17" t="str">
        <f>IF(18&lt;=$B$8,"Lesson 18","")</f>
        <v/>
      </c>
      <c r="B50" s="17" t="str">
        <f>IF($A50="","",COUNTIF('Knowledge test'!$B:$B,$A50))</f>
        <v/>
      </c>
      <c r="C50" s="17" t="str">
        <f>IF($A50="","",COUNTIF('Application test'!$B:$B,$A50))</f>
        <v/>
      </c>
      <c r="D50" s="17" t="str">
        <f>IF($A50="","",COUNTIF(Exhibits!$B:$B,$A50))</f>
        <v/>
      </c>
      <c r="E50" s="17" t="str">
        <f>IF($A50="","",COUNTIF('Reading list'!$B:$B,$A50))</f>
        <v/>
      </c>
    </row>
    <row r="51" spans="1:8">
      <c r="A51" s="17" t="str">
        <f>IF(19&lt;=$B$8,"Lesson 19","")</f>
        <v/>
      </c>
      <c r="B51" s="17" t="str">
        <f>IF($A51="","",COUNTIF('Knowledge test'!$B:$B,$A51))</f>
        <v/>
      </c>
      <c r="C51" s="17" t="str">
        <f>IF($A51="","",COUNTIF('Application test'!$B:$B,$A51))</f>
        <v/>
      </c>
      <c r="D51" s="17" t="str">
        <f>IF($A51="","",COUNTIF(Exhibits!$B:$B,$A51))</f>
        <v/>
      </c>
      <c r="E51" s="17" t="str">
        <f>IF($A51="","",COUNTIF('Reading list'!$B:$B,$A51))</f>
        <v/>
      </c>
    </row>
    <row r="52" spans="1:8">
      <c r="A52" s="17" t="str">
        <f>IF(20&lt;=$B$8,"Lesson 20","")</f>
        <v/>
      </c>
      <c r="B52" s="17" t="str">
        <f>IF($A52="","",COUNTIF('Knowledge test'!$B:$B,$A52))</f>
        <v/>
      </c>
      <c r="C52" s="17" t="str">
        <f>IF($A52="","",COUNTIF('Application test'!$B:$B,$A52))</f>
        <v/>
      </c>
      <c r="D52" s="17" t="str">
        <f>IF($A52="","",COUNTIF(Exhibits!$B:$B,$A52))</f>
        <v/>
      </c>
      <c r="E52" s="17" t="str">
        <f>IF($A52="","",COUNTIF('Reading list'!$B:$B,$A52))</f>
        <v/>
      </c>
    </row>
    <row r="53" spans="1:8">
      <c r="A53" s="22" t="s">
        <v>60</v>
      </c>
      <c r="B53" s="22">
        <f>SUM(B33:B52)</f>
        <v>26</v>
      </c>
      <c r="C53" s="22">
        <f>SUM(C33:C52)</f>
        <v>2</v>
      </c>
      <c r="D53" s="22">
        <f>SUM(D33:D52)</f>
        <v>4</v>
      </c>
      <c r="E53" s="22">
        <f>SUM(E33:E52)</f>
        <v>6</v>
      </c>
    </row>
    <row r="54" spans="1:8">
      <c r="A54" s="21" t="s">
        <v>61</v>
      </c>
    </row>
    <row r="56" spans="1:8" ht="15" customHeight="1">
      <c r="A56" s="8" t="s">
        <v>62</v>
      </c>
      <c r="B56" s="8"/>
      <c r="C56" s="8"/>
      <c r="D56" s="8"/>
      <c r="E56" s="8"/>
      <c r="F56" s="8"/>
      <c r="G56" s="8"/>
      <c r="H56" s="8"/>
    </row>
    <row r="57" spans="1:8">
      <c r="A57" s="12" t="s">
        <v>63</v>
      </c>
      <c r="B57" s="17" t="str">
        <f>COUNTIFS($D$14:$D$27,"Yes",$E$14:$E$27,"Ready")&amp;" / "&amp;COUNTIF($D$14:$D$27,"Yes")</f>
        <v>0 / 14</v>
      </c>
    </row>
    <row r="58" spans="1:8">
      <c r="A58" s="12" t="s">
        <v>64</v>
      </c>
      <c r="B58" s="17" t="str">
        <f>IF(COUNTIFS($D$14:$D$27,"Yes",$E$14:$E$27,"Ready")=COUNTIF($D$14:$D$27,"Yes"),"Yes","No")</f>
        <v>No</v>
      </c>
    </row>
    <row r="59" spans="1:8" ht="28">
      <c r="A59" s="12" t="s">
        <v>65</v>
      </c>
      <c r="B59" s="18" t="s">
        <v>66</v>
      </c>
      <c r="C59" s="12" t="s">
        <v>67</v>
      </c>
      <c r="D59" s="14"/>
      <c r="E59" s="12" t="s">
        <v>68</v>
      </c>
      <c r="F59" s="15"/>
    </row>
    <row r="60" spans="1:8">
      <c r="A60" s="12" t="s">
        <v>25</v>
      </c>
      <c r="B60" s="2" t="str">
        <f>IF(AND(B58="Yes",B59="Yes"),"READY FOR UPLOAD","Not ready for upload")</f>
        <v>Not ready for upload</v>
      </c>
      <c r="C60" s="2"/>
      <c r="D60" s="2"/>
    </row>
    <row r="62" spans="1:8" ht="15" customHeight="1">
      <c r="A62" s="8" t="s">
        <v>69</v>
      </c>
      <c r="B62" s="8"/>
      <c r="C62" s="8"/>
      <c r="D62" s="8"/>
      <c r="E62" s="8"/>
      <c r="F62" s="8"/>
      <c r="G62" s="8"/>
      <c r="H62" s="8"/>
    </row>
    <row r="63" spans="1:8">
      <c r="A63" s="12" t="s">
        <v>70</v>
      </c>
      <c r="B63" s="1"/>
      <c r="C63" s="1"/>
      <c r="D63" s="1"/>
    </row>
    <row r="64" spans="1:8">
      <c r="A64" s="12" t="s">
        <v>71</v>
      </c>
      <c r="B64" s="1"/>
      <c r="C64" s="1"/>
      <c r="D64" s="1"/>
    </row>
    <row r="65" spans="1:4">
      <c r="A65" s="12" t="s">
        <v>28</v>
      </c>
      <c r="B65" s="7"/>
      <c r="C65" s="7"/>
      <c r="D65" s="7"/>
    </row>
  </sheetData>
  <mergeCells count="22">
    <mergeCell ref="B65:D65"/>
    <mergeCell ref="A56:H56"/>
    <mergeCell ref="B60:D60"/>
    <mergeCell ref="A62:H62"/>
    <mergeCell ref="B63:D63"/>
    <mergeCell ref="B64:D64"/>
    <mergeCell ref="B9:D9"/>
    <mergeCell ref="E9:H9"/>
    <mergeCell ref="B10:D10"/>
    <mergeCell ref="B11:D11"/>
    <mergeCell ref="A30:H30"/>
    <mergeCell ref="B6:D6"/>
    <mergeCell ref="E6:H6"/>
    <mergeCell ref="B7:D7"/>
    <mergeCell ref="E7:H7"/>
    <mergeCell ref="B8:D8"/>
    <mergeCell ref="E8:H8"/>
    <mergeCell ref="A2:H2"/>
    <mergeCell ref="B4:D4"/>
    <mergeCell ref="E4:H4"/>
    <mergeCell ref="B5:D5"/>
    <mergeCell ref="E5:H5"/>
  </mergeCells>
  <phoneticPr fontId="16" type="noConversion"/>
  <conditionalFormatting sqref="A14:H27">
    <cfRule type="expression" dxfId="8" priority="7">
      <formula>$D14="N/A"</formula>
    </cfRule>
  </conditionalFormatting>
  <conditionalFormatting sqref="B60">
    <cfRule type="cellIs" dxfId="7" priority="9" operator="equal">
      <formula>"READY FOR UPLOAD"</formula>
    </cfRule>
    <cfRule type="cellIs" dxfId="6" priority="10" operator="equal">
      <formula>"Not ready for upload"</formula>
    </cfRule>
  </conditionalFormatting>
  <conditionalFormatting sqref="B33:E52">
    <cfRule type="expression" dxfId="5" priority="8">
      <formula>AND($A33&lt;&gt;"",B33=0)</formula>
    </cfRule>
  </conditionalFormatting>
  <conditionalFormatting sqref="D14:D27">
    <cfRule type="expression" dxfId="4" priority="2">
      <formula>$D14&lt;&gt;$I14</formula>
    </cfRule>
  </conditionalFormatting>
  <conditionalFormatting sqref="E14:E27">
    <cfRule type="cellIs" dxfId="3" priority="3" operator="equal">
      <formula>"Ready"</formula>
    </cfRule>
    <cfRule type="cellIs" dxfId="2" priority="4" operator="equal">
      <formula>"In progress"</formula>
    </cfRule>
    <cfRule type="cellIs" dxfId="1" priority="5" operator="equal">
      <formula>"Needs changes"</formula>
    </cfRule>
    <cfRule type="cellIs" dxfId="0" priority="6" operator="equal">
      <formula>"Not started"</formula>
    </cfRule>
  </conditionalFormatting>
  <dataValidations count="1">
    <dataValidation type="whole" sqref="B8" xr:uid="{00000000-0002-0000-0100-000002000000}">
      <formula1>1</formula1>
      <formula2>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100-000000000000}">
          <x14:formula1>
            <xm:f>Lists!$D$2:$D$4</xm:f>
          </x14:formula1>
          <x14:formula2>
            <xm:f>0</xm:f>
          </x14:formula2>
          <xm:sqref>B6</xm:sqref>
        </x14:dataValidation>
        <x14:dataValidation type="list" allowBlank="1" xr:uid="{00000000-0002-0000-0100-000001000000}">
          <x14:formula1>
            <xm:f>Lists!$E$2:$E$4</xm:f>
          </x14:formula1>
          <x14:formula2>
            <xm:f>0</xm:f>
          </x14:formula2>
          <xm:sqref>B7</xm:sqref>
        </x14:dataValidation>
        <x14:dataValidation type="list" allowBlank="1" xr:uid="{00000000-0002-0000-0100-000003000000}">
          <x14:formula1>
            <xm:f>Lists!$A$2:$A$5</xm:f>
          </x14:formula1>
          <x14:formula2>
            <xm:f>0</xm:f>
          </x14:formula2>
          <xm:sqref>E14:E27</xm:sqref>
        </x14:dataValidation>
        <x14:dataValidation type="list" allowBlank="1" xr:uid="{00000000-0002-0000-0100-000004000000}">
          <x14:formula1>
            <xm:f>Lists!$B$2:$B$3</xm:f>
          </x14:formula1>
          <x14:formula2>
            <xm:f>0</xm:f>
          </x14:formula2>
          <xm:sqref>D14:D27</xm:sqref>
        </x14:dataValidation>
        <x14:dataValidation type="list" allowBlank="1" xr:uid="{00000000-0002-0000-0100-000005000000}">
          <x14:formula1>
            <xm:f>Lists!$I$2:$I$3</xm:f>
          </x14:formula1>
          <x14:formula2>
            <xm:f>0</xm:f>
          </x14:formula2>
          <xm:sqref>B59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27"/>
  <sheetViews>
    <sheetView showGridLines="0" tabSelected="1" zoomScaleNormal="100" workbookViewId="0">
      <selection activeCell="D15" sqref="D15"/>
    </sheetView>
  </sheetViews>
  <sheetFormatPr baseColWidth="10" defaultColWidth="8.6640625" defaultRowHeight="15"/>
  <cols>
    <col min="1" max="1" width="24" customWidth="1"/>
    <col min="2" max="2" width="48" customWidth="1"/>
    <col min="3" max="4" width="40" customWidth="1"/>
  </cols>
  <sheetData>
    <row r="1" spans="1:4" ht="18">
      <c r="A1" s="10" t="s">
        <v>72</v>
      </c>
    </row>
    <row r="2" spans="1:4" ht="30" customHeight="1">
      <c r="A2" s="9" t="s">
        <v>73</v>
      </c>
      <c r="B2" s="9"/>
      <c r="C2" s="9"/>
      <c r="D2" s="9"/>
    </row>
    <row r="3" spans="1:4" ht="30" customHeight="1">
      <c r="A3" s="16" t="s">
        <v>74</v>
      </c>
      <c r="B3" s="16" t="s">
        <v>75</v>
      </c>
      <c r="C3" s="16" t="s">
        <v>76</v>
      </c>
      <c r="D3" s="16" t="s">
        <v>28</v>
      </c>
    </row>
    <row r="4" spans="1:4">
      <c r="A4" s="12" t="s">
        <v>77</v>
      </c>
      <c r="B4" s="14" t="s">
        <v>78</v>
      </c>
      <c r="C4" s="23"/>
      <c r="D4" s="24" t="s">
        <v>79</v>
      </c>
    </row>
    <row r="5" spans="1:4">
      <c r="A5" s="12" t="s">
        <v>5</v>
      </c>
      <c r="B5" s="14" t="s">
        <v>80</v>
      </c>
      <c r="C5" s="14"/>
      <c r="D5" s="24" t="s">
        <v>81</v>
      </c>
    </row>
    <row r="6" spans="1:4" ht="60" customHeight="1">
      <c r="A6" s="12" t="s">
        <v>82</v>
      </c>
      <c r="B6" s="30" t="s">
        <v>188</v>
      </c>
      <c r="C6" s="14"/>
      <c r="D6" s="24" t="s">
        <v>83</v>
      </c>
    </row>
    <row r="7" spans="1:4" ht="182">
      <c r="A7" s="12" t="s">
        <v>84</v>
      </c>
      <c r="B7" s="30" t="s">
        <v>189</v>
      </c>
      <c r="C7" s="14"/>
      <c r="D7" s="24" t="s">
        <v>85</v>
      </c>
    </row>
    <row r="9" spans="1:4" ht="15" customHeight="1">
      <c r="A9" s="8" t="s">
        <v>86</v>
      </c>
      <c r="B9" s="8"/>
      <c r="C9" s="8"/>
      <c r="D9" s="8"/>
    </row>
    <row r="10" spans="1:4" ht="15" customHeight="1">
      <c r="A10" s="9" t="s">
        <v>87</v>
      </c>
      <c r="B10" s="9"/>
      <c r="C10" s="9"/>
      <c r="D10" s="9"/>
    </row>
    <row r="11" spans="1:4" ht="30" customHeight="1">
      <c r="A11" s="16" t="s">
        <v>21</v>
      </c>
      <c r="B11" s="16" t="s">
        <v>75</v>
      </c>
      <c r="C11" s="16" t="s">
        <v>76</v>
      </c>
      <c r="D11" s="16" t="s">
        <v>28</v>
      </c>
    </row>
    <row r="12" spans="1:4">
      <c r="A12" s="17">
        <v>1</v>
      </c>
      <c r="B12" s="25" t="s">
        <v>88</v>
      </c>
      <c r="C12" s="14"/>
      <c r="D12" s="24"/>
    </row>
    <row r="13" spans="1:4">
      <c r="A13" s="17">
        <v>2</v>
      </c>
      <c r="B13" s="25" t="s">
        <v>89</v>
      </c>
      <c r="C13" s="14"/>
      <c r="D13" s="24"/>
    </row>
    <row r="14" spans="1:4">
      <c r="A14" s="17">
        <v>3</v>
      </c>
      <c r="B14" s="30" t="s">
        <v>190</v>
      </c>
      <c r="C14" s="14"/>
      <c r="D14" s="24"/>
    </row>
    <row r="15" spans="1:4">
      <c r="A15" s="17">
        <v>4</v>
      </c>
      <c r="B15" s="30" t="s">
        <v>191</v>
      </c>
      <c r="C15" s="14"/>
      <c r="D15" s="24"/>
    </row>
    <row r="16" spans="1:4">
      <c r="A16" s="17">
        <v>5</v>
      </c>
      <c r="B16" s="30" t="s">
        <v>192</v>
      </c>
      <c r="C16" s="14"/>
      <c r="D16" s="24"/>
    </row>
    <row r="17" spans="1:4">
      <c r="A17" s="17">
        <v>6</v>
      </c>
      <c r="B17" s="30" t="s">
        <v>193</v>
      </c>
      <c r="C17" s="14"/>
      <c r="D17" s="24"/>
    </row>
    <row r="19" spans="1:4" ht="15" customHeight="1">
      <c r="A19" s="8" t="s">
        <v>90</v>
      </c>
      <c r="B19" s="8"/>
      <c r="C19" s="8"/>
      <c r="D19" s="8"/>
    </row>
    <row r="20" spans="1:4" ht="15" customHeight="1">
      <c r="A20" s="9" t="s">
        <v>91</v>
      </c>
      <c r="B20" s="9"/>
      <c r="C20" s="9"/>
      <c r="D20" s="9"/>
    </row>
    <row r="21" spans="1:4" ht="30" customHeight="1">
      <c r="A21" s="16" t="s">
        <v>21</v>
      </c>
      <c r="B21" s="16" t="s">
        <v>92</v>
      </c>
      <c r="C21" s="16" t="s">
        <v>93</v>
      </c>
      <c r="D21" s="16" t="s">
        <v>94</v>
      </c>
    </row>
    <row r="22" spans="1:4">
      <c r="A22" s="17">
        <v>1</v>
      </c>
      <c r="B22" s="25" t="s">
        <v>95</v>
      </c>
      <c r="C22" s="14"/>
      <c r="D22" s="14"/>
    </row>
    <row r="23" spans="1:4">
      <c r="A23" s="17">
        <v>2</v>
      </c>
      <c r="B23" s="25" t="s">
        <v>96</v>
      </c>
      <c r="C23" s="14"/>
      <c r="D23" s="14"/>
    </row>
    <row r="24" spans="1:4">
      <c r="A24" s="17">
        <v>3</v>
      </c>
      <c r="B24" s="14" t="s">
        <v>180</v>
      </c>
      <c r="C24" s="14"/>
      <c r="D24" s="14"/>
    </row>
    <row r="25" spans="1:4">
      <c r="A25" s="17">
        <v>4</v>
      </c>
      <c r="B25" s="14" t="s">
        <v>183</v>
      </c>
      <c r="C25" s="14"/>
      <c r="D25" s="14"/>
    </row>
    <row r="26" spans="1:4">
      <c r="A26" s="17">
        <v>5</v>
      </c>
      <c r="B26" s="14" t="s">
        <v>184</v>
      </c>
      <c r="C26" s="14"/>
      <c r="D26" s="14"/>
    </row>
    <row r="27" spans="1:4">
      <c r="A27" s="17">
        <v>6</v>
      </c>
      <c r="B27" s="14" t="s">
        <v>194</v>
      </c>
      <c r="C27" s="14"/>
      <c r="D27" s="14"/>
    </row>
  </sheetData>
  <mergeCells count="5">
    <mergeCell ref="A2:D2"/>
    <mergeCell ref="A9:D9"/>
    <mergeCell ref="A10:D10"/>
    <mergeCell ref="A19:D19"/>
    <mergeCell ref="A20:D20"/>
  </mergeCells>
  <phoneticPr fontId="16" type="noConversion"/>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Lists!$C$2:$C$4</xm:f>
          </x14:formula1>
          <x14:formula2>
            <xm:f>0</xm:f>
          </x14:formula2>
          <xm:sqref>B4</xm:sqref>
        </x14:dataValidation>
        <x14:dataValidation type="list" allowBlank="1" xr:uid="{00000000-0002-0000-0200-000001000000}">
          <x14:formula1>
            <xm:f>Lists!$J$2:$J$8</xm:f>
          </x14:formula1>
          <x14:formula2>
            <xm:f>0</xm:f>
          </x14:formula2>
          <xm:sqref>B22:B27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5"/>
  <sheetViews>
    <sheetView showGridLines="0" zoomScaleNormal="100" workbookViewId="0">
      <selection activeCell="B15" sqref="B15"/>
    </sheetView>
  </sheetViews>
  <sheetFormatPr baseColWidth="10" defaultColWidth="8.6640625" defaultRowHeight="15"/>
  <cols>
    <col min="1" max="1" width="26" customWidth="1"/>
    <col min="2" max="2" width="38" customWidth="1"/>
    <col min="3" max="3" width="32" customWidth="1"/>
    <col min="4" max="4" width="38" customWidth="1"/>
    <col min="5" max="5" width="32" customWidth="1"/>
    <col min="6" max="7" width="14" customWidth="1"/>
  </cols>
  <sheetData>
    <row r="1" spans="1:7" ht="18">
      <c r="A1" s="10" t="s">
        <v>97</v>
      </c>
    </row>
    <row r="2" spans="1:7" ht="30" customHeight="1">
      <c r="A2" s="9" t="s">
        <v>98</v>
      </c>
      <c r="B2" s="9"/>
      <c r="C2" s="9"/>
      <c r="D2" s="9"/>
      <c r="E2" s="9"/>
      <c r="F2" s="9"/>
      <c r="G2" s="9"/>
    </row>
    <row r="4" spans="1:7">
      <c r="A4" s="26" t="s">
        <v>55</v>
      </c>
      <c r="B4" s="12" t="s">
        <v>99</v>
      </c>
    </row>
    <row r="5" spans="1:7">
      <c r="A5" s="26" t="s">
        <v>100</v>
      </c>
      <c r="B5" s="13" t="s">
        <v>101</v>
      </c>
    </row>
    <row r="6" spans="1:7">
      <c r="A6" s="26" t="s">
        <v>102</v>
      </c>
      <c r="B6" s="5" t="s">
        <v>103</v>
      </c>
      <c r="C6" s="5"/>
      <c r="D6" s="5"/>
      <c r="E6" s="5"/>
      <c r="F6" s="5"/>
      <c r="G6" s="5"/>
    </row>
    <row r="7" spans="1:7">
      <c r="A7" s="26" t="s">
        <v>104</v>
      </c>
      <c r="B7" s="5"/>
      <c r="C7" s="5"/>
      <c r="D7" s="5"/>
      <c r="E7" s="5"/>
      <c r="F7" s="5"/>
      <c r="G7" s="5"/>
    </row>
    <row r="8" spans="1:7">
      <c r="A8" s="26" t="s">
        <v>105</v>
      </c>
      <c r="B8" s="5" t="s">
        <v>106</v>
      </c>
      <c r="C8" s="5"/>
      <c r="D8" s="5"/>
      <c r="E8" s="5"/>
      <c r="F8" s="5"/>
      <c r="G8" s="5"/>
    </row>
    <row r="9" spans="1:7">
      <c r="A9" s="26" t="s">
        <v>107</v>
      </c>
      <c r="B9" s="5"/>
      <c r="C9" s="5"/>
      <c r="D9" s="5"/>
      <c r="E9" s="5"/>
      <c r="F9" s="5"/>
      <c r="G9" s="5"/>
    </row>
    <row r="10" spans="1:7" ht="30" customHeight="1">
      <c r="A10" s="16" t="s">
        <v>21</v>
      </c>
      <c r="B10" s="16" t="s">
        <v>108</v>
      </c>
      <c r="C10" s="16" t="s">
        <v>109</v>
      </c>
      <c r="D10" s="16" t="s">
        <v>110</v>
      </c>
      <c r="E10" s="16" t="s">
        <v>111</v>
      </c>
      <c r="F10" s="16" t="s">
        <v>112</v>
      </c>
      <c r="G10" s="16" t="s">
        <v>113</v>
      </c>
    </row>
    <row r="11" spans="1:7">
      <c r="A11" s="17" t="s">
        <v>114</v>
      </c>
      <c r="B11" s="30" t="s">
        <v>203</v>
      </c>
      <c r="C11" s="14"/>
      <c r="D11" s="30" t="s">
        <v>203</v>
      </c>
      <c r="E11" s="14"/>
      <c r="F11" s="32" t="s">
        <v>115</v>
      </c>
      <c r="G11" s="18"/>
    </row>
    <row r="12" spans="1:7">
      <c r="A12" s="17" t="s">
        <v>116</v>
      </c>
      <c r="B12" s="30" t="s">
        <v>204</v>
      </c>
      <c r="C12" s="14"/>
      <c r="D12" s="30" t="s">
        <v>204</v>
      </c>
      <c r="E12" s="14"/>
      <c r="F12" s="32" t="s">
        <v>117</v>
      </c>
      <c r="G12" s="18"/>
    </row>
    <row r="13" spans="1:7">
      <c r="A13" s="17" t="s">
        <v>118</v>
      </c>
      <c r="B13" s="30" t="s">
        <v>195</v>
      </c>
      <c r="C13" s="14"/>
      <c r="D13" s="30" t="s">
        <v>195</v>
      </c>
      <c r="E13" s="14"/>
      <c r="F13" s="32">
        <v>0.40763888888888888</v>
      </c>
      <c r="G13" s="18"/>
    </row>
    <row r="14" spans="1:7">
      <c r="A14" s="17" t="s">
        <v>119</v>
      </c>
      <c r="B14" s="30" t="s">
        <v>196</v>
      </c>
      <c r="C14" s="14"/>
      <c r="D14" s="30" t="s">
        <v>196</v>
      </c>
      <c r="E14" s="14"/>
      <c r="F14" s="32">
        <v>0.71250000000000002</v>
      </c>
      <c r="G14" s="18"/>
    </row>
    <row r="15" spans="1:7" ht="28">
      <c r="A15" s="17" t="s">
        <v>120</v>
      </c>
      <c r="B15" s="30" t="s">
        <v>197</v>
      </c>
      <c r="C15" s="14"/>
      <c r="D15" s="30" t="s">
        <v>197</v>
      </c>
      <c r="E15" s="14"/>
      <c r="F15" s="32">
        <v>0.81597222222222221</v>
      </c>
      <c r="G15" s="18"/>
    </row>
    <row r="17" spans="1:7">
      <c r="A17" s="26" t="s">
        <v>55</v>
      </c>
      <c r="B17" s="12" t="s">
        <v>121</v>
      </c>
    </row>
    <row r="18" spans="1:7">
      <c r="A18" s="26" t="s">
        <v>100</v>
      </c>
      <c r="B18" s="31" t="s">
        <v>198</v>
      </c>
    </row>
    <row r="19" spans="1:7">
      <c r="A19" s="26" t="s">
        <v>102</v>
      </c>
      <c r="B19" s="29" t="s">
        <v>199</v>
      </c>
      <c r="C19" s="5"/>
      <c r="D19" s="5"/>
      <c r="E19" s="5"/>
      <c r="F19" s="5"/>
      <c r="G19" s="5"/>
    </row>
    <row r="20" spans="1:7">
      <c r="A20" s="26" t="s">
        <v>104</v>
      </c>
      <c r="B20" s="5"/>
      <c r="C20" s="5"/>
      <c r="D20" s="5"/>
      <c r="E20" s="5"/>
      <c r="F20" s="5"/>
      <c r="G20" s="5"/>
    </row>
    <row r="21" spans="1:7">
      <c r="A21" s="26" t="s">
        <v>105</v>
      </c>
      <c r="B21" s="29" t="s">
        <v>200</v>
      </c>
      <c r="C21" s="5"/>
      <c r="D21" s="5"/>
      <c r="E21" s="5"/>
      <c r="F21" s="5"/>
      <c r="G21" s="5"/>
    </row>
    <row r="22" spans="1:7">
      <c r="A22" s="26" t="s">
        <v>107</v>
      </c>
      <c r="B22" s="5"/>
      <c r="C22" s="5"/>
      <c r="D22" s="5"/>
      <c r="E22" s="5"/>
      <c r="F22" s="5"/>
      <c r="G22" s="5"/>
    </row>
    <row r="23" spans="1:7" ht="30" customHeight="1">
      <c r="A23" s="16" t="s">
        <v>21</v>
      </c>
      <c r="B23" s="16" t="s">
        <v>108</v>
      </c>
      <c r="C23" s="16" t="s">
        <v>109</v>
      </c>
      <c r="D23" s="16" t="s">
        <v>110</v>
      </c>
      <c r="E23" s="16" t="s">
        <v>111</v>
      </c>
      <c r="F23" s="16" t="s">
        <v>112</v>
      </c>
      <c r="G23" s="16" t="s">
        <v>113</v>
      </c>
    </row>
    <row r="24" spans="1:7" ht="28">
      <c r="A24" s="17" t="s">
        <v>122</v>
      </c>
      <c r="B24" s="30" t="s">
        <v>201</v>
      </c>
      <c r="C24" s="14"/>
      <c r="D24" s="30" t="s">
        <v>201</v>
      </c>
      <c r="E24" s="14"/>
      <c r="F24" s="32">
        <v>6.9444444444444441E-3</v>
      </c>
      <c r="G24" s="18"/>
    </row>
    <row r="25" spans="1:7">
      <c r="A25" s="17" t="s">
        <v>123</v>
      </c>
      <c r="B25" s="30" t="s">
        <v>202</v>
      </c>
      <c r="C25" s="14"/>
      <c r="D25" s="30" t="s">
        <v>202</v>
      </c>
      <c r="E25" s="14"/>
      <c r="F25" s="32">
        <v>0.83611111111111114</v>
      </c>
      <c r="G25" s="18"/>
    </row>
  </sheetData>
  <mergeCells count="9">
    <mergeCell ref="B19:G19"/>
    <mergeCell ref="B20:G20"/>
    <mergeCell ref="B21:G21"/>
    <mergeCell ref="B22:G22"/>
    <mergeCell ref="A2:G2"/>
    <mergeCell ref="B6:G6"/>
    <mergeCell ref="B7:G7"/>
    <mergeCell ref="B8:G8"/>
    <mergeCell ref="B9:G9"/>
  </mergeCells>
  <phoneticPr fontId="16" type="noConversion"/>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23"/>
  <sheetViews>
    <sheetView showGridLines="0" zoomScaleNormal="100" workbookViewId="0">
      <pane ySplit="3" topLeftCell="A4" activePane="bottomLeft" state="frozen"/>
      <selection pane="bottomLeft" activeCell="C22" sqref="C22:C29"/>
    </sheetView>
  </sheetViews>
  <sheetFormatPr baseColWidth="10" defaultColWidth="8.6640625" defaultRowHeight="15"/>
  <cols>
    <col min="1" max="2" width="11" customWidth="1"/>
    <col min="3" max="3" width="8" customWidth="1"/>
    <col min="4" max="4" width="40" customWidth="1"/>
    <col min="5" max="5" width="56" customWidth="1"/>
    <col min="6" max="6" width="34" customWidth="1"/>
    <col min="7" max="7" width="48" customWidth="1"/>
  </cols>
  <sheetData>
    <row r="1" spans="1:7" ht="18">
      <c r="A1" s="10" t="s">
        <v>124</v>
      </c>
    </row>
    <row r="2" spans="1:7" ht="30" customHeight="1">
      <c r="A2" s="9" t="s">
        <v>125</v>
      </c>
      <c r="B2" s="9"/>
      <c r="C2" s="9"/>
      <c r="D2" s="9"/>
      <c r="E2" s="9"/>
      <c r="F2" s="9"/>
      <c r="G2" s="9"/>
    </row>
    <row r="3" spans="1:7" ht="30" customHeight="1">
      <c r="A3" s="16" t="s">
        <v>100</v>
      </c>
      <c r="B3" s="16" t="s">
        <v>55</v>
      </c>
      <c r="C3" s="16" t="s">
        <v>126</v>
      </c>
      <c r="D3" s="16" t="s">
        <v>127</v>
      </c>
      <c r="E3" s="16" t="s">
        <v>128</v>
      </c>
      <c r="F3" s="16" t="s">
        <v>129</v>
      </c>
      <c r="G3" s="16" t="s">
        <v>130</v>
      </c>
    </row>
    <row r="4" spans="1:7" ht="28">
      <c r="A4" s="14" t="s">
        <v>101</v>
      </c>
      <c r="B4" s="14" t="s">
        <v>99</v>
      </c>
      <c r="C4" s="14">
        <v>1</v>
      </c>
      <c r="D4" s="14" t="s">
        <v>205</v>
      </c>
      <c r="E4" s="14" t="s">
        <v>131</v>
      </c>
      <c r="F4" s="14"/>
      <c r="G4" s="14"/>
    </row>
    <row r="5" spans="1:7" ht="56">
      <c r="A5" s="14" t="s">
        <v>101</v>
      </c>
      <c r="B5" s="14" t="s">
        <v>99</v>
      </c>
      <c r="C5" s="14">
        <v>2</v>
      </c>
      <c r="D5" s="14" t="s">
        <v>206</v>
      </c>
      <c r="E5" s="14" t="s">
        <v>207</v>
      </c>
      <c r="F5" s="14"/>
      <c r="G5" s="14"/>
    </row>
    <row r="6" spans="1:7" ht="70">
      <c r="A6" s="14" t="s">
        <v>101</v>
      </c>
      <c r="B6" s="14" t="s">
        <v>99</v>
      </c>
      <c r="C6" s="14">
        <v>3</v>
      </c>
      <c r="D6" s="14" t="s">
        <v>208</v>
      </c>
      <c r="E6" s="14" t="s">
        <v>209</v>
      </c>
      <c r="F6" s="14"/>
      <c r="G6" s="14"/>
    </row>
    <row r="7" spans="1:7" ht="56">
      <c r="A7" s="14" t="s">
        <v>101</v>
      </c>
      <c r="B7" s="14" t="s">
        <v>99</v>
      </c>
      <c r="C7" s="14">
        <v>4</v>
      </c>
      <c r="D7" s="14" t="s">
        <v>210</v>
      </c>
      <c r="E7" s="14" t="s">
        <v>211</v>
      </c>
      <c r="F7" s="14"/>
      <c r="G7" s="14"/>
    </row>
    <row r="8" spans="1:7" ht="56">
      <c r="A8" s="14" t="s">
        <v>101</v>
      </c>
      <c r="B8" s="14" t="s">
        <v>99</v>
      </c>
      <c r="C8" s="14">
        <v>5</v>
      </c>
      <c r="D8" s="14" t="s">
        <v>212</v>
      </c>
      <c r="E8" s="14" t="s">
        <v>213</v>
      </c>
      <c r="F8" s="14"/>
      <c r="G8" s="14"/>
    </row>
    <row r="9" spans="1:7" ht="28">
      <c r="A9" s="14" t="s">
        <v>101</v>
      </c>
      <c r="B9" s="14" t="s">
        <v>99</v>
      </c>
      <c r="C9" s="14">
        <v>6</v>
      </c>
      <c r="D9" s="14" t="s">
        <v>214</v>
      </c>
      <c r="E9" s="14" t="s">
        <v>215</v>
      </c>
      <c r="F9" s="14"/>
      <c r="G9" s="14"/>
    </row>
    <row r="10" spans="1:7">
      <c r="A10" s="14" t="s">
        <v>101</v>
      </c>
      <c r="B10" s="14" t="s">
        <v>99</v>
      </c>
      <c r="C10" s="14">
        <v>7</v>
      </c>
      <c r="D10" s="14" t="s">
        <v>216</v>
      </c>
      <c r="E10" s="14" t="s">
        <v>217</v>
      </c>
      <c r="F10" s="14"/>
      <c r="G10" s="14"/>
    </row>
    <row r="11" spans="1:7" ht="84">
      <c r="A11" s="14" t="s">
        <v>101</v>
      </c>
      <c r="B11" s="14" t="s">
        <v>99</v>
      </c>
      <c r="C11" s="14">
        <v>8</v>
      </c>
      <c r="D11" s="14" t="s">
        <v>218</v>
      </c>
      <c r="E11" s="14" t="s">
        <v>219</v>
      </c>
      <c r="F11" s="14"/>
      <c r="G11" s="14"/>
    </row>
    <row r="12" spans="1:7" ht="70">
      <c r="A12" s="14" t="s">
        <v>101</v>
      </c>
      <c r="B12" s="14" t="s">
        <v>99</v>
      </c>
      <c r="C12" s="14">
        <v>9</v>
      </c>
      <c r="D12" s="14" t="s">
        <v>220</v>
      </c>
      <c r="E12" s="14" t="s">
        <v>221</v>
      </c>
      <c r="F12" s="14"/>
      <c r="G12" s="14"/>
    </row>
    <row r="13" spans="1:7" ht="28">
      <c r="A13" s="14" t="s">
        <v>101</v>
      </c>
      <c r="B13" s="14" t="s">
        <v>99</v>
      </c>
      <c r="C13" s="14">
        <v>10</v>
      </c>
      <c r="D13" s="14" t="s">
        <v>222</v>
      </c>
      <c r="E13" s="14" t="s">
        <v>223</v>
      </c>
      <c r="F13" s="14"/>
      <c r="G13" s="14"/>
    </row>
    <row r="14" spans="1:7" ht="42">
      <c r="A14" s="14" t="s">
        <v>101</v>
      </c>
      <c r="B14" s="14" t="s">
        <v>99</v>
      </c>
      <c r="C14" s="14">
        <v>11</v>
      </c>
      <c r="D14" s="14" t="s">
        <v>224</v>
      </c>
      <c r="E14" s="14" t="s">
        <v>225</v>
      </c>
      <c r="F14" s="14"/>
      <c r="G14" s="14"/>
    </row>
    <row r="15" spans="1:7">
      <c r="A15" s="14" t="s">
        <v>101</v>
      </c>
      <c r="B15" s="14" t="s">
        <v>99</v>
      </c>
      <c r="C15" s="14">
        <v>12</v>
      </c>
      <c r="D15" s="14" t="s">
        <v>226</v>
      </c>
      <c r="E15" s="14" t="s">
        <v>227</v>
      </c>
      <c r="F15" s="14"/>
      <c r="G15" s="14"/>
    </row>
    <row r="16" spans="1:7" ht="28">
      <c r="A16" s="14" t="s">
        <v>101</v>
      </c>
      <c r="B16" s="14" t="s">
        <v>99</v>
      </c>
      <c r="C16" s="14">
        <v>13</v>
      </c>
      <c r="D16" s="14" t="s">
        <v>228</v>
      </c>
      <c r="E16" s="14" t="s">
        <v>229</v>
      </c>
      <c r="F16" s="14"/>
      <c r="G16" s="14"/>
    </row>
    <row r="17" spans="1:7" ht="28">
      <c r="A17" s="14" t="s">
        <v>101</v>
      </c>
      <c r="B17" s="14" t="s">
        <v>99</v>
      </c>
      <c r="C17" s="14">
        <v>14</v>
      </c>
      <c r="D17" s="14" t="s">
        <v>230</v>
      </c>
      <c r="E17" s="14" t="s">
        <v>231</v>
      </c>
      <c r="F17" s="14"/>
      <c r="G17" s="14"/>
    </row>
    <row r="18" spans="1:7" ht="56">
      <c r="A18" s="14" t="s">
        <v>101</v>
      </c>
      <c r="B18" s="14" t="s">
        <v>99</v>
      </c>
      <c r="C18" s="14">
        <v>15</v>
      </c>
      <c r="D18" s="14" t="s">
        <v>232</v>
      </c>
      <c r="E18" s="14" t="s">
        <v>233</v>
      </c>
      <c r="F18" s="14"/>
      <c r="G18" s="14"/>
    </row>
    <row r="19" spans="1:7" ht="56">
      <c r="A19" s="14" t="s">
        <v>101</v>
      </c>
      <c r="B19" s="14" t="s">
        <v>99</v>
      </c>
      <c r="C19" s="14">
        <v>16</v>
      </c>
      <c r="D19" s="14" t="s">
        <v>234</v>
      </c>
      <c r="E19" s="14" t="s">
        <v>235</v>
      </c>
      <c r="F19" s="14"/>
      <c r="G19" s="14"/>
    </row>
    <row r="20" spans="1:7" ht="70">
      <c r="A20" s="14" t="s">
        <v>101</v>
      </c>
      <c r="B20" s="14" t="s">
        <v>99</v>
      </c>
      <c r="C20" s="14">
        <v>17</v>
      </c>
      <c r="D20" s="14" t="s">
        <v>236</v>
      </c>
      <c r="E20" s="14" t="s">
        <v>237</v>
      </c>
      <c r="F20" s="14"/>
      <c r="G20" s="14"/>
    </row>
    <row r="21" spans="1:7" ht="42">
      <c r="A21" s="14" t="s">
        <v>101</v>
      </c>
      <c r="B21" s="14" t="s">
        <v>99</v>
      </c>
      <c r="C21" s="14">
        <v>18</v>
      </c>
      <c r="D21" s="14" t="s">
        <v>238</v>
      </c>
      <c r="E21" s="14" t="s">
        <v>239</v>
      </c>
      <c r="F21" s="14"/>
      <c r="G21" s="14"/>
    </row>
    <row r="22" spans="1:7" ht="56">
      <c r="A22" s="30" t="s">
        <v>198</v>
      </c>
      <c r="B22" s="30" t="s">
        <v>256</v>
      </c>
      <c r="C22" s="14">
        <v>1</v>
      </c>
      <c r="D22" s="14" t="s">
        <v>240</v>
      </c>
      <c r="E22" s="14" t="s">
        <v>241</v>
      </c>
      <c r="F22" s="14"/>
      <c r="G22" s="14"/>
    </row>
    <row r="23" spans="1:7" ht="56">
      <c r="A23" s="30" t="s">
        <v>198</v>
      </c>
      <c r="B23" s="30" t="s">
        <v>256</v>
      </c>
      <c r="C23" s="14">
        <v>2</v>
      </c>
      <c r="D23" s="14" t="s">
        <v>242</v>
      </c>
      <c r="E23" s="14" t="s">
        <v>243</v>
      </c>
      <c r="F23" s="14"/>
      <c r="G23" s="14"/>
    </row>
    <row r="24" spans="1:7" ht="56">
      <c r="A24" s="30" t="s">
        <v>198</v>
      </c>
      <c r="B24" s="30" t="s">
        <v>256</v>
      </c>
      <c r="C24" s="14">
        <v>3</v>
      </c>
      <c r="D24" s="14" t="s">
        <v>244</v>
      </c>
      <c r="E24" s="14" t="s">
        <v>245</v>
      </c>
      <c r="F24" s="14"/>
      <c r="G24" s="14"/>
    </row>
    <row r="25" spans="1:7" ht="42">
      <c r="A25" s="30" t="s">
        <v>198</v>
      </c>
      <c r="B25" s="30" t="s">
        <v>256</v>
      </c>
      <c r="C25" s="14">
        <v>4</v>
      </c>
      <c r="D25" s="14" t="s">
        <v>246</v>
      </c>
      <c r="E25" s="14" t="s">
        <v>247</v>
      </c>
      <c r="F25" s="14"/>
      <c r="G25" s="14"/>
    </row>
    <row r="26" spans="1:7" ht="42">
      <c r="A26" s="30" t="s">
        <v>198</v>
      </c>
      <c r="B26" s="30" t="s">
        <v>256</v>
      </c>
      <c r="C26" s="14">
        <v>5</v>
      </c>
      <c r="D26" s="14" t="s">
        <v>248</v>
      </c>
      <c r="E26" s="14" t="s">
        <v>249</v>
      </c>
      <c r="F26" s="14"/>
      <c r="G26" s="14"/>
    </row>
    <row r="27" spans="1:7" ht="42">
      <c r="A27" s="30" t="s">
        <v>198</v>
      </c>
      <c r="B27" s="30" t="s">
        <v>256</v>
      </c>
      <c r="C27" s="14">
        <v>6</v>
      </c>
      <c r="D27" s="14" t="s">
        <v>250</v>
      </c>
      <c r="E27" s="14" t="s">
        <v>251</v>
      </c>
      <c r="F27" s="14"/>
      <c r="G27" s="14"/>
    </row>
    <row r="28" spans="1:7" ht="56">
      <c r="A28" s="30" t="s">
        <v>198</v>
      </c>
      <c r="B28" s="30" t="s">
        <v>256</v>
      </c>
      <c r="C28" s="14">
        <v>7</v>
      </c>
      <c r="D28" s="14" t="s">
        <v>252</v>
      </c>
      <c r="E28" s="14" t="s">
        <v>253</v>
      </c>
      <c r="F28" s="14"/>
      <c r="G28" s="14"/>
    </row>
    <row r="29" spans="1:7" ht="70">
      <c r="A29" s="30" t="s">
        <v>198</v>
      </c>
      <c r="B29" s="30" t="s">
        <v>256</v>
      </c>
      <c r="C29" s="14">
        <v>8</v>
      </c>
      <c r="D29" s="14" t="s">
        <v>254</v>
      </c>
      <c r="E29" s="14" t="s">
        <v>255</v>
      </c>
      <c r="F29" s="14"/>
      <c r="G29" s="14"/>
    </row>
    <row r="30" spans="1:7">
      <c r="A30" s="14"/>
      <c r="B30" s="14"/>
      <c r="C30" s="14"/>
      <c r="D30" s="14"/>
      <c r="E30" s="14"/>
      <c r="F30" s="14"/>
      <c r="G30" s="14"/>
    </row>
    <row r="31" spans="1:7">
      <c r="A31" s="14"/>
      <c r="B31" s="14"/>
      <c r="C31" s="14"/>
      <c r="D31" s="14"/>
      <c r="E31" s="14"/>
      <c r="F31" s="14"/>
      <c r="G31" s="14"/>
    </row>
    <row r="32" spans="1:7">
      <c r="A32" s="14"/>
      <c r="B32" s="14"/>
      <c r="C32" s="14"/>
      <c r="D32" s="14"/>
      <c r="E32" s="14"/>
      <c r="F32" s="14"/>
      <c r="G32" s="14"/>
    </row>
    <row r="33" spans="1:7">
      <c r="A33" s="14"/>
      <c r="B33" s="14"/>
      <c r="C33" s="14"/>
      <c r="D33" s="14"/>
      <c r="E33" s="14"/>
      <c r="F33" s="14"/>
      <c r="G33" s="14"/>
    </row>
    <row r="34" spans="1:7">
      <c r="A34" s="14"/>
      <c r="B34" s="14"/>
      <c r="C34" s="14"/>
      <c r="D34" s="14"/>
      <c r="E34" s="14"/>
      <c r="F34" s="14"/>
      <c r="G34" s="14"/>
    </row>
    <row r="35" spans="1:7">
      <c r="A35" s="14"/>
      <c r="B35" s="14"/>
      <c r="C35" s="14"/>
      <c r="D35" s="14"/>
      <c r="E35" s="14"/>
      <c r="F35" s="14"/>
      <c r="G35" s="14"/>
    </row>
    <row r="36" spans="1:7">
      <c r="A36" s="14"/>
      <c r="B36" s="14"/>
      <c r="C36" s="14"/>
      <c r="D36" s="14"/>
      <c r="E36" s="14"/>
      <c r="F36" s="14"/>
      <c r="G36" s="14"/>
    </row>
    <row r="37" spans="1:7">
      <c r="A37" s="14"/>
      <c r="B37" s="14"/>
      <c r="C37" s="14"/>
      <c r="D37" s="14"/>
      <c r="E37" s="14"/>
      <c r="F37" s="14"/>
      <c r="G37" s="14"/>
    </row>
    <row r="38" spans="1:7">
      <c r="A38" s="14"/>
      <c r="B38" s="14"/>
      <c r="C38" s="14"/>
      <c r="D38" s="14"/>
      <c r="E38" s="14"/>
      <c r="F38" s="14"/>
      <c r="G38" s="14"/>
    </row>
    <row r="39" spans="1:7">
      <c r="A39" s="14"/>
      <c r="B39" s="14"/>
      <c r="C39" s="14"/>
      <c r="D39" s="14"/>
      <c r="E39" s="14"/>
      <c r="F39" s="14"/>
      <c r="G39" s="14"/>
    </row>
    <row r="40" spans="1:7">
      <c r="A40" s="14"/>
      <c r="B40" s="14"/>
      <c r="C40" s="14"/>
      <c r="D40" s="14"/>
      <c r="E40" s="14"/>
      <c r="F40" s="14"/>
      <c r="G40" s="14"/>
    </row>
    <row r="41" spans="1:7">
      <c r="A41" s="14"/>
      <c r="B41" s="14"/>
      <c r="C41" s="14"/>
      <c r="D41" s="14"/>
      <c r="E41" s="14"/>
      <c r="F41" s="14"/>
      <c r="G41" s="14"/>
    </row>
    <row r="42" spans="1:7">
      <c r="A42" s="14"/>
      <c r="B42" s="14"/>
      <c r="C42" s="14"/>
      <c r="D42" s="14"/>
      <c r="E42" s="14"/>
      <c r="F42" s="14"/>
      <c r="G42" s="14"/>
    </row>
    <row r="43" spans="1:7">
      <c r="A43" s="14"/>
      <c r="B43" s="14"/>
      <c r="C43" s="14"/>
      <c r="D43" s="14"/>
      <c r="E43" s="14"/>
      <c r="F43" s="14"/>
      <c r="G43" s="14"/>
    </row>
    <row r="44" spans="1:7">
      <c r="A44" s="14"/>
      <c r="B44" s="14"/>
      <c r="C44" s="14"/>
      <c r="D44" s="14"/>
      <c r="E44" s="14"/>
      <c r="F44" s="14"/>
      <c r="G44" s="14"/>
    </row>
    <row r="45" spans="1:7">
      <c r="A45" s="14"/>
      <c r="B45" s="14"/>
      <c r="C45" s="14"/>
      <c r="D45" s="14"/>
      <c r="E45" s="14"/>
      <c r="F45" s="14"/>
      <c r="G45" s="14"/>
    </row>
    <row r="46" spans="1:7">
      <c r="A46" s="14"/>
      <c r="B46" s="14"/>
      <c r="C46" s="14"/>
      <c r="D46" s="14"/>
      <c r="E46" s="14"/>
      <c r="F46" s="14"/>
      <c r="G46" s="14"/>
    </row>
    <row r="47" spans="1:7">
      <c r="A47" s="14"/>
      <c r="B47" s="14"/>
      <c r="C47" s="14"/>
      <c r="D47" s="14"/>
      <c r="E47" s="14"/>
      <c r="F47" s="14"/>
      <c r="G47" s="14"/>
    </row>
    <row r="48" spans="1:7">
      <c r="A48" s="14"/>
      <c r="B48" s="14"/>
      <c r="C48" s="14"/>
      <c r="D48" s="14"/>
      <c r="E48" s="14"/>
      <c r="F48" s="14"/>
      <c r="G48" s="14"/>
    </row>
    <row r="49" spans="1:7">
      <c r="A49" s="14"/>
      <c r="B49" s="14"/>
      <c r="C49" s="14"/>
      <c r="D49" s="14"/>
      <c r="E49" s="14"/>
      <c r="F49" s="14"/>
      <c r="G49" s="14"/>
    </row>
    <row r="50" spans="1:7">
      <c r="A50" s="14"/>
      <c r="B50" s="14"/>
      <c r="C50" s="14"/>
      <c r="D50" s="14"/>
      <c r="E50" s="14"/>
      <c r="F50" s="14"/>
      <c r="G50" s="14"/>
    </row>
    <row r="51" spans="1:7">
      <c r="A51" s="14"/>
      <c r="B51" s="14"/>
      <c r="C51" s="14"/>
      <c r="D51" s="14"/>
      <c r="E51" s="14"/>
      <c r="F51" s="14"/>
      <c r="G51" s="14"/>
    </row>
    <row r="52" spans="1:7">
      <c r="A52" s="14"/>
      <c r="B52" s="14"/>
      <c r="C52" s="14"/>
      <c r="D52" s="14"/>
      <c r="E52" s="14"/>
      <c r="F52" s="14"/>
      <c r="G52" s="14"/>
    </row>
    <row r="53" spans="1:7">
      <c r="A53" s="14"/>
      <c r="B53" s="14"/>
      <c r="C53" s="14"/>
      <c r="D53" s="14"/>
      <c r="E53" s="14"/>
      <c r="F53" s="14"/>
      <c r="G53" s="14"/>
    </row>
    <row r="54" spans="1:7">
      <c r="A54" s="14"/>
      <c r="B54" s="14"/>
      <c r="C54" s="14"/>
      <c r="D54" s="14"/>
      <c r="E54" s="14"/>
      <c r="F54" s="14"/>
      <c r="G54" s="14"/>
    </row>
    <row r="55" spans="1:7">
      <c r="A55" s="14"/>
      <c r="B55" s="14"/>
      <c r="C55" s="14"/>
      <c r="D55" s="14"/>
      <c r="E55" s="14"/>
      <c r="F55" s="14"/>
      <c r="G55" s="14"/>
    </row>
    <row r="56" spans="1:7">
      <c r="A56" s="14"/>
      <c r="B56" s="14"/>
      <c r="C56" s="14"/>
      <c r="D56" s="14"/>
      <c r="E56" s="14"/>
      <c r="F56" s="14"/>
      <c r="G56" s="14"/>
    </row>
    <row r="57" spans="1:7">
      <c r="A57" s="14"/>
      <c r="B57" s="14"/>
      <c r="C57" s="14"/>
      <c r="D57" s="14"/>
      <c r="E57" s="14"/>
      <c r="F57" s="14"/>
      <c r="G57" s="14"/>
    </row>
    <row r="58" spans="1:7">
      <c r="A58" s="14"/>
      <c r="B58" s="14"/>
      <c r="C58" s="14"/>
      <c r="D58" s="14"/>
      <c r="E58" s="14"/>
      <c r="F58" s="14"/>
      <c r="G58" s="14"/>
    </row>
    <row r="59" spans="1:7">
      <c r="A59" s="14"/>
      <c r="B59" s="14"/>
      <c r="C59" s="14"/>
      <c r="D59" s="14"/>
      <c r="E59" s="14"/>
      <c r="F59" s="14"/>
      <c r="G59" s="14"/>
    </row>
    <row r="60" spans="1:7">
      <c r="A60" s="14"/>
      <c r="B60" s="14"/>
      <c r="C60" s="14"/>
      <c r="D60" s="14"/>
      <c r="E60" s="14"/>
      <c r="F60" s="14"/>
      <c r="G60" s="14"/>
    </row>
    <row r="61" spans="1:7">
      <c r="A61" s="14"/>
      <c r="B61" s="14"/>
      <c r="C61" s="14"/>
      <c r="D61" s="14"/>
      <c r="E61" s="14"/>
      <c r="F61" s="14"/>
      <c r="G61" s="14"/>
    </row>
    <row r="62" spans="1:7">
      <c r="A62" s="14"/>
      <c r="B62" s="14"/>
      <c r="C62" s="14"/>
      <c r="D62" s="14"/>
      <c r="E62" s="14"/>
      <c r="F62" s="14"/>
      <c r="G62" s="14"/>
    </row>
    <row r="63" spans="1:7">
      <c r="A63" s="14"/>
      <c r="B63" s="14"/>
      <c r="C63" s="14"/>
      <c r="D63" s="14"/>
      <c r="E63" s="14"/>
      <c r="F63" s="14"/>
      <c r="G63" s="14"/>
    </row>
    <row r="64" spans="1:7">
      <c r="A64" s="14"/>
      <c r="B64" s="14"/>
      <c r="C64" s="14"/>
      <c r="D64" s="14"/>
      <c r="E64" s="14"/>
      <c r="F64" s="14"/>
      <c r="G64" s="14"/>
    </row>
    <row r="65" spans="1:7">
      <c r="A65" s="14"/>
      <c r="B65" s="14"/>
      <c r="C65" s="14"/>
      <c r="D65" s="14"/>
      <c r="E65" s="14"/>
      <c r="F65" s="14"/>
      <c r="G65" s="14"/>
    </row>
    <row r="66" spans="1:7">
      <c r="A66" s="14"/>
      <c r="B66" s="14"/>
      <c r="C66" s="14"/>
      <c r="D66" s="14"/>
      <c r="E66" s="14"/>
      <c r="F66" s="14"/>
      <c r="G66" s="14"/>
    </row>
    <row r="67" spans="1:7">
      <c r="A67" s="14"/>
      <c r="B67" s="14"/>
      <c r="C67" s="14"/>
      <c r="D67" s="14"/>
      <c r="E67" s="14"/>
      <c r="F67" s="14"/>
      <c r="G67" s="14"/>
    </row>
    <row r="68" spans="1:7">
      <c r="A68" s="14"/>
      <c r="B68" s="14"/>
      <c r="C68" s="14"/>
      <c r="D68" s="14"/>
      <c r="E68" s="14"/>
      <c r="F68" s="14"/>
      <c r="G68" s="14"/>
    </row>
    <row r="69" spans="1:7">
      <c r="A69" s="14"/>
      <c r="B69" s="14"/>
      <c r="C69" s="14"/>
      <c r="D69" s="14"/>
      <c r="E69" s="14"/>
      <c r="F69" s="14"/>
      <c r="G69" s="14"/>
    </row>
    <row r="70" spans="1:7">
      <c r="A70" s="14"/>
      <c r="B70" s="14"/>
      <c r="C70" s="14"/>
      <c r="D70" s="14"/>
      <c r="E70" s="14"/>
      <c r="F70" s="14"/>
      <c r="G70" s="14"/>
    </row>
    <row r="71" spans="1:7">
      <c r="A71" s="14"/>
      <c r="B71" s="14"/>
      <c r="C71" s="14"/>
      <c r="D71" s="14"/>
      <c r="E71" s="14"/>
      <c r="F71" s="14"/>
      <c r="G71" s="14"/>
    </row>
    <row r="72" spans="1:7">
      <c r="A72" s="14"/>
      <c r="B72" s="14"/>
      <c r="C72" s="14"/>
      <c r="D72" s="14"/>
      <c r="E72" s="14"/>
      <c r="F72" s="14"/>
      <c r="G72" s="14"/>
    </row>
    <row r="73" spans="1:7">
      <c r="A73" s="14"/>
      <c r="B73" s="14"/>
      <c r="C73" s="14"/>
      <c r="D73" s="14"/>
      <c r="E73" s="14"/>
      <c r="F73" s="14"/>
      <c r="G73" s="14"/>
    </row>
    <row r="74" spans="1:7">
      <c r="A74" s="14"/>
      <c r="B74" s="14"/>
      <c r="C74" s="14"/>
      <c r="D74" s="14"/>
      <c r="E74" s="14"/>
      <c r="F74" s="14"/>
      <c r="G74" s="14"/>
    </row>
    <row r="75" spans="1:7">
      <c r="A75" s="14"/>
      <c r="B75" s="14"/>
      <c r="C75" s="14"/>
      <c r="D75" s="14"/>
      <c r="E75" s="14"/>
      <c r="F75" s="14"/>
      <c r="G75" s="14"/>
    </row>
    <row r="76" spans="1:7">
      <c r="A76" s="14"/>
      <c r="B76" s="14"/>
      <c r="C76" s="14"/>
      <c r="D76" s="14"/>
      <c r="E76" s="14"/>
      <c r="F76" s="14"/>
      <c r="G76" s="14"/>
    </row>
    <row r="77" spans="1:7">
      <c r="A77" s="14"/>
      <c r="B77" s="14"/>
      <c r="C77" s="14"/>
      <c r="D77" s="14"/>
      <c r="E77" s="14"/>
      <c r="F77" s="14"/>
      <c r="G77" s="14"/>
    </row>
    <row r="78" spans="1:7">
      <c r="A78" s="14"/>
      <c r="B78" s="14"/>
      <c r="C78" s="14"/>
      <c r="D78" s="14"/>
      <c r="E78" s="14"/>
      <c r="F78" s="14"/>
      <c r="G78" s="14"/>
    </row>
    <row r="79" spans="1:7">
      <c r="A79" s="14"/>
      <c r="B79" s="14"/>
      <c r="C79" s="14"/>
      <c r="D79" s="14"/>
      <c r="E79" s="14"/>
      <c r="F79" s="14"/>
      <c r="G79" s="14"/>
    </row>
    <row r="80" spans="1:7">
      <c r="A80" s="14"/>
      <c r="B80" s="14"/>
      <c r="C80" s="14"/>
      <c r="D80" s="14"/>
      <c r="E80" s="14"/>
      <c r="F80" s="14"/>
      <c r="G80" s="14"/>
    </row>
    <row r="81" spans="1:7">
      <c r="A81" s="14"/>
      <c r="B81" s="14"/>
      <c r="C81" s="14"/>
      <c r="D81" s="14"/>
      <c r="E81" s="14"/>
      <c r="F81" s="14"/>
      <c r="G81" s="14"/>
    </row>
    <row r="82" spans="1:7">
      <c r="A82" s="14"/>
      <c r="B82" s="14"/>
      <c r="C82" s="14"/>
      <c r="D82" s="14"/>
      <c r="E82" s="14"/>
      <c r="F82" s="14"/>
      <c r="G82" s="14"/>
    </row>
    <row r="83" spans="1:7">
      <c r="A83" s="14"/>
      <c r="B83" s="14"/>
      <c r="C83" s="14"/>
      <c r="D83" s="14"/>
      <c r="E83" s="14"/>
      <c r="F83" s="14"/>
      <c r="G83" s="14"/>
    </row>
    <row r="84" spans="1:7">
      <c r="A84" s="14"/>
      <c r="B84" s="14"/>
      <c r="C84" s="14"/>
      <c r="D84" s="14"/>
      <c r="E84" s="14"/>
      <c r="F84" s="14"/>
      <c r="G84" s="14"/>
    </row>
    <row r="85" spans="1:7">
      <c r="A85" s="14"/>
      <c r="B85" s="14"/>
      <c r="C85" s="14"/>
      <c r="D85" s="14"/>
      <c r="E85" s="14"/>
      <c r="F85" s="14"/>
      <c r="G85" s="14"/>
    </row>
    <row r="86" spans="1:7">
      <c r="A86" s="14"/>
      <c r="B86" s="14"/>
      <c r="C86" s="14"/>
      <c r="D86" s="14"/>
      <c r="E86" s="14"/>
      <c r="F86" s="14"/>
      <c r="G86" s="14"/>
    </row>
    <row r="87" spans="1:7">
      <c r="A87" s="14"/>
      <c r="B87" s="14"/>
      <c r="C87" s="14"/>
      <c r="D87" s="14"/>
      <c r="E87" s="14"/>
      <c r="F87" s="14"/>
      <c r="G87" s="14"/>
    </row>
    <row r="88" spans="1:7">
      <c r="A88" s="14"/>
      <c r="B88" s="14"/>
      <c r="C88" s="14"/>
      <c r="D88" s="14"/>
      <c r="E88" s="14"/>
      <c r="F88" s="14"/>
      <c r="G88" s="14"/>
    </row>
    <row r="89" spans="1:7">
      <c r="A89" s="14"/>
      <c r="B89" s="14"/>
      <c r="C89" s="14"/>
      <c r="D89" s="14"/>
      <c r="E89" s="14"/>
      <c r="F89" s="14"/>
      <c r="G89" s="14"/>
    </row>
    <row r="90" spans="1:7">
      <c r="A90" s="14"/>
      <c r="B90" s="14"/>
      <c r="C90" s="14"/>
      <c r="D90" s="14"/>
      <c r="E90" s="14"/>
      <c r="F90" s="14"/>
      <c r="G90" s="14"/>
    </row>
    <row r="91" spans="1:7">
      <c r="A91" s="14"/>
      <c r="B91" s="14"/>
      <c r="C91" s="14"/>
      <c r="D91" s="14"/>
      <c r="E91" s="14"/>
      <c r="F91" s="14"/>
      <c r="G91" s="14"/>
    </row>
    <row r="92" spans="1:7">
      <c r="A92" s="14"/>
      <c r="B92" s="14"/>
      <c r="C92" s="14"/>
      <c r="D92" s="14"/>
      <c r="E92" s="14"/>
      <c r="F92" s="14"/>
      <c r="G92" s="14"/>
    </row>
    <row r="93" spans="1:7">
      <c r="A93" s="14"/>
      <c r="B93" s="14"/>
      <c r="C93" s="14"/>
      <c r="D93" s="14"/>
      <c r="E93" s="14"/>
      <c r="F93" s="14"/>
      <c r="G93" s="14"/>
    </row>
    <row r="94" spans="1:7">
      <c r="A94" s="14"/>
      <c r="B94" s="14"/>
      <c r="C94" s="14"/>
      <c r="D94" s="14"/>
      <c r="E94" s="14"/>
      <c r="F94" s="14"/>
      <c r="G94" s="14"/>
    </row>
    <row r="95" spans="1:7">
      <c r="A95" s="14"/>
      <c r="B95" s="14"/>
      <c r="C95" s="14"/>
      <c r="D95" s="14"/>
      <c r="E95" s="14"/>
      <c r="F95" s="14"/>
      <c r="G95" s="14"/>
    </row>
    <row r="96" spans="1:7">
      <c r="A96" s="14"/>
      <c r="B96" s="14"/>
      <c r="C96" s="14"/>
      <c r="D96" s="14"/>
      <c r="E96" s="14"/>
      <c r="F96" s="14"/>
      <c r="G96" s="14"/>
    </row>
    <row r="97" spans="1:7">
      <c r="A97" s="14"/>
      <c r="B97" s="14"/>
      <c r="C97" s="14"/>
      <c r="D97" s="14"/>
      <c r="E97" s="14"/>
      <c r="F97" s="14"/>
      <c r="G97" s="14"/>
    </row>
    <row r="98" spans="1:7">
      <c r="A98" s="14"/>
      <c r="B98" s="14"/>
      <c r="C98" s="14"/>
      <c r="D98" s="14"/>
      <c r="E98" s="14"/>
      <c r="F98" s="14"/>
      <c r="G98" s="14"/>
    </row>
    <row r="99" spans="1:7">
      <c r="A99" s="14"/>
      <c r="B99" s="14"/>
      <c r="C99" s="14"/>
      <c r="D99" s="14"/>
      <c r="E99" s="14"/>
      <c r="F99" s="14"/>
      <c r="G99" s="14"/>
    </row>
    <row r="100" spans="1:7">
      <c r="A100" s="14"/>
      <c r="B100" s="14"/>
      <c r="C100" s="14"/>
      <c r="D100" s="14"/>
      <c r="E100" s="14"/>
      <c r="F100" s="14"/>
      <c r="G100" s="14"/>
    </row>
    <row r="101" spans="1:7">
      <c r="A101" s="14"/>
      <c r="B101" s="14"/>
      <c r="C101" s="14"/>
      <c r="D101" s="14"/>
      <c r="E101" s="14"/>
      <c r="F101" s="14"/>
      <c r="G101" s="14"/>
    </row>
    <row r="102" spans="1:7">
      <c r="A102" s="14"/>
      <c r="B102" s="14"/>
      <c r="C102" s="14"/>
      <c r="D102" s="14"/>
      <c r="E102" s="14"/>
      <c r="F102" s="14"/>
      <c r="G102" s="14"/>
    </row>
    <row r="103" spans="1:7">
      <c r="A103" s="14"/>
      <c r="B103" s="14"/>
      <c r="C103" s="14"/>
      <c r="D103" s="14"/>
      <c r="E103" s="14"/>
      <c r="F103" s="14"/>
      <c r="G103" s="14"/>
    </row>
    <row r="104" spans="1:7">
      <c r="A104" s="14"/>
      <c r="B104" s="14"/>
      <c r="C104" s="14"/>
      <c r="D104" s="14"/>
      <c r="E104" s="14"/>
      <c r="F104" s="14"/>
      <c r="G104" s="14"/>
    </row>
    <row r="105" spans="1:7">
      <c r="A105" s="14"/>
      <c r="B105" s="14"/>
      <c r="C105" s="14"/>
      <c r="D105" s="14"/>
      <c r="E105" s="14"/>
      <c r="F105" s="14"/>
      <c r="G105" s="14"/>
    </row>
    <row r="106" spans="1:7">
      <c r="A106" s="14"/>
      <c r="B106" s="14"/>
      <c r="C106" s="14"/>
      <c r="D106" s="14"/>
      <c r="E106" s="14"/>
      <c r="F106" s="14"/>
      <c r="G106" s="14"/>
    </row>
    <row r="107" spans="1:7">
      <c r="A107" s="14"/>
      <c r="B107" s="14"/>
      <c r="C107" s="14"/>
      <c r="D107" s="14"/>
      <c r="E107" s="14"/>
      <c r="F107" s="14"/>
      <c r="G107" s="14"/>
    </row>
    <row r="108" spans="1:7">
      <c r="A108" s="14"/>
      <c r="B108" s="14"/>
      <c r="C108" s="14"/>
      <c r="D108" s="14"/>
      <c r="E108" s="14"/>
      <c r="F108" s="14"/>
      <c r="G108" s="14"/>
    </row>
    <row r="109" spans="1:7">
      <c r="A109" s="14"/>
      <c r="B109" s="14"/>
      <c r="C109" s="14"/>
      <c r="D109" s="14"/>
      <c r="E109" s="14"/>
      <c r="F109" s="14"/>
      <c r="G109" s="14"/>
    </row>
    <row r="110" spans="1:7">
      <c r="A110" s="14"/>
      <c r="B110" s="14"/>
      <c r="C110" s="14"/>
      <c r="D110" s="14"/>
      <c r="E110" s="14"/>
      <c r="F110" s="14"/>
      <c r="G110" s="14"/>
    </row>
    <row r="111" spans="1:7">
      <c r="A111" s="14"/>
      <c r="B111" s="14"/>
      <c r="C111" s="14"/>
      <c r="D111" s="14"/>
      <c r="E111" s="14"/>
      <c r="F111" s="14"/>
      <c r="G111" s="14"/>
    </row>
    <row r="112" spans="1:7">
      <c r="A112" s="14"/>
      <c r="B112" s="14"/>
      <c r="C112" s="14"/>
      <c r="D112" s="14"/>
      <c r="E112" s="14"/>
      <c r="F112" s="14"/>
      <c r="G112" s="14"/>
    </row>
    <row r="113" spans="1:7">
      <c r="A113" s="14"/>
      <c r="B113" s="14"/>
      <c r="C113" s="14"/>
      <c r="D113" s="14"/>
      <c r="E113" s="14"/>
      <c r="F113" s="14"/>
      <c r="G113" s="14"/>
    </row>
    <row r="114" spans="1:7">
      <c r="A114" s="14"/>
      <c r="B114" s="14"/>
      <c r="C114" s="14"/>
      <c r="D114" s="14"/>
      <c r="E114" s="14"/>
      <c r="F114" s="14"/>
      <c r="G114" s="14"/>
    </row>
    <row r="115" spans="1:7">
      <c r="A115" s="14"/>
      <c r="B115" s="14"/>
      <c r="C115" s="14"/>
      <c r="D115" s="14"/>
      <c r="E115" s="14"/>
      <c r="F115" s="14"/>
      <c r="G115" s="14"/>
    </row>
    <row r="116" spans="1:7">
      <c r="A116" s="14"/>
      <c r="B116" s="14"/>
      <c r="C116" s="14"/>
      <c r="D116" s="14"/>
      <c r="E116" s="14"/>
      <c r="F116" s="14"/>
      <c r="G116" s="14"/>
    </row>
    <row r="117" spans="1:7">
      <c r="A117" s="14"/>
      <c r="B117" s="14"/>
      <c r="C117" s="14"/>
      <c r="D117" s="14"/>
      <c r="E117" s="14"/>
      <c r="F117" s="14"/>
      <c r="G117" s="14"/>
    </row>
    <row r="118" spans="1:7">
      <c r="A118" s="14"/>
      <c r="B118" s="14"/>
      <c r="C118" s="14"/>
      <c r="D118" s="14"/>
      <c r="E118" s="14"/>
      <c r="F118" s="14"/>
      <c r="G118" s="14"/>
    </row>
    <row r="119" spans="1:7">
      <c r="A119" s="14"/>
      <c r="B119" s="14"/>
      <c r="C119" s="14"/>
      <c r="D119" s="14"/>
      <c r="E119" s="14"/>
      <c r="F119" s="14"/>
      <c r="G119" s="14"/>
    </row>
    <row r="120" spans="1:7">
      <c r="A120" s="14"/>
      <c r="B120" s="14"/>
      <c r="C120" s="14"/>
      <c r="D120" s="14"/>
      <c r="E120" s="14"/>
      <c r="F120" s="14"/>
      <c r="G120" s="14"/>
    </row>
    <row r="121" spans="1:7">
      <c r="A121" s="14"/>
      <c r="B121" s="14"/>
      <c r="C121" s="14"/>
      <c r="D121" s="14"/>
      <c r="E121" s="14"/>
      <c r="F121" s="14"/>
      <c r="G121" s="14"/>
    </row>
    <row r="122" spans="1:7">
      <c r="A122" s="14"/>
      <c r="B122" s="14"/>
      <c r="C122" s="14"/>
      <c r="D122" s="14"/>
      <c r="E122" s="14"/>
      <c r="F122" s="14"/>
      <c r="G122" s="14"/>
    </row>
    <row r="123" spans="1:7">
      <c r="A123" s="14"/>
      <c r="B123" s="14"/>
      <c r="C123" s="14"/>
      <c r="D123" s="14"/>
      <c r="E123" s="14"/>
      <c r="F123" s="14"/>
      <c r="G123" s="14"/>
    </row>
  </sheetData>
  <mergeCells count="1">
    <mergeCell ref="A2:G2"/>
  </mergeCells>
  <phoneticPr fontId="16" type="noConversion"/>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34"/>
  <sheetViews>
    <sheetView showGridLines="0" zoomScaleNormal="100" workbookViewId="0">
      <pane ySplit="3" topLeftCell="A4" activePane="bottomLeft" state="frozen"/>
      <selection pane="bottomLeft" activeCell="C5" sqref="C5:D5"/>
    </sheetView>
  </sheetViews>
  <sheetFormatPr baseColWidth="10" defaultColWidth="8.6640625" defaultRowHeight="15"/>
  <cols>
    <col min="1" max="2" width="11" customWidth="1"/>
    <col min="3" max="3" width="48" customWidth="1"/>
    <col min="4" max="4" width="64" customWidth="1"/>
    <col min="5" max="5" width="40" customWidth="1"/>
    <col min="6" max="6" width="56" customWidth="1"/>
  </cols>
  <sheetData>
    <row r="1" spans="1:6" ht="18">
      <c r="A1" s="10" t="s">
        <v>57</v>
      </c>
    </row>
    <row r="2" spans="1:6" ht="30" customHeight="1">
      <c r="A2" s="9" t="s">
        <v>132</v>
      </c>
      <c r="B2" s="9"/>
      <c r="C2" s="9"/>
      <c r="D2" s="9"/>
      <c r="E2" s="9"/>
      <c r="F2" s="9"/>
    </row>
    <row r="3" spans="1:6" ht="30" customHeight="1">
      <c r="A3" s="16" t="s">
        <v>100</v>
      </c>
      <c r="B3" s="16" t="s">
        <v>55</v>
      </c>
      <c r="C3" s="16" t="s">
        <v>127</v>
      </c>
      <c r="D3" s="16" t="s">
        <v>128</v>
      </c>
      <c r="E3" s="16" t="s">
        <v>129</v>
      </c>
      <c r="F3" s="16" t="s">
        <v>130</v>
      </c>
    </row>
    <row r="4" spans="1:6" ht="409.6">
      <c r="A4" s="14" t="s">
        <v>101</v>
      </c>
      <c r="B4" s="14" t="s">
        <v>99</v>
      </c>
      <c r="C4" s="14" t="s">
        <v>257</v>
      </c>
      <c r="D4" s="14" t="s">
        <v>258</v>
      </c>
      <c r="E4" s="14"/>
      <c r="F4" s="14"/>
    </row>
    <row r="5" spans="1:6" ht="409.6">
      <c r="A5" s="30" t="s">
        <v>198</v>
      </c>
      <c r="B5" s="30" t="s">
        <v>256</v>
      </c>
      <c r="C5" s="14" t="s">
        <v>259</v>
      </c>
      <c r="D5" s="14" t="s">
        <v>260</v>
      </c>
      <c r="E5" s="14"/>
      <c r="F5" s="14"/>
    </row>
    <row r="6" spans="1:6">
      <c r="A6" s="14"/>
      <c r="B6" s="14"/>
      <c r="C6" s="14"/>
      <c r="D6" s="14"/>
      <c r="E6" s="14"/>
      <c r="F6" s="14"/>
    </row>
    <row r="7" spans="1:6">
      <c r="A7" s="14"/>
      <c r="B7" s="14"/>
      <c r="C7" s="14"/>
      <c r="D7" s="14"/>
      <c r="E7" s="14"/>
      <c r="F7" s="14"/>
    </row>
    <row r="8" spans="1:6">
      <c r="A8" s="14"/>
      <c r="B8" s="14"/>
      <c r="C8" s="14"/>
      <c r="D8" s="14"/>
      <c r="E8" s="14"/>
      <c r="F8" s="14"/>
    </row>
    <row r="9" spans="1:6">
      <c r="A9" s="14"/>
      <c r="B9" s="14"/>
      <c r="C9" s="14"/>
      <c r="D9" s="14"/>
      <c r="E9" s="14"/>
      <c r="F9" s="14"/>
    </row>
    <row r="10" spans="1:6">
      <c r="A10" s="14"/>
      <c r="B10" s="14"/>
      <c r="C10" s="14"/>
      <c r="D10" s="14"/>
      <c r="E10" s="14"/>
      <c r="F10" s="14"/>
    </row>
    <row r="11" spans="1:6">
      <c r="A11" s="14"/>
      <c r="B11" s="14"/>
      <c r="C11" s="14"/>
      <c r="D11" s="14"/>
      <c r="E11" s="14"/>
      <c r="F11" s="14"/>
    </row>
    <row r="12" spans="1:6">
      <c r="A12" s="14"/>
      <c r="B12" s="14"/>
      <c r="C12" s="14"/>
      <c r="D12" s="14"/>
      <c r="E12" s="14"/>
      <c r="F12" s="14"/>
    </row>
    <row r="13" spans="1:6">
      <c r="A13" s="14"/>
      <c r="B13" s="14"/>
      <c r="C13" s="14"/>
      <c r="D13" s="14"/>
      <c r="E13" s="14"/>
      <c r="F13" s="14"/>
    </row>
    <row r="14" spans="1:6">
      <c r="A14" s="14"/>
      <c r="B14" s="14"/>
      <c r="C14" s="14"/>
      <c r="D14" s="14"/>
      <c r="E14" s="14"/>
      <c r="F14" s="14"/>
    </row>
    <row r="15" spans="1:6">
      <c r="A15" s="14"/>
      <c r="B15" s="14"/>
      <c r="C15" s="14"/>
      <c r="D15" s="14"/>
      <c r="E15" s="14"/>
      <c r="F15" s="14"/>
    </row>
    <row r="16" spans="1:6">
      <c r="A16" s="14"/>
      <c r="B16" s="14"/>
      <c r="C16" s="14"/>
      <c r="D16" s="14"/>
      <c r="E16" s="14"/>
      <c r="F16" s="14"/>
    </row>
    <row r="17" spans="1:6">
      <c r="A17" s="14"/>
      <c r="B17" s="14"/>
      <c r="C17" s="14"/>
      <c r="D17" s="14"/>
      <c r="E17" s="14"/>
      <c r="F17" s="14"/>
    </row>
    <row r="18" spans="1:6">
      <c r="A18" s="14"/>
      <c r="B18" s="14"/>
      <c r="C18" s="14"/>
      <c r="D18" s="14"/>
      <c r="E18" s="14"/>
      <c r="F18" s="14"/>
    </row>
    <row r="19" spans="1:6">
      <c r="A19" s="14"/>
      <c r="B19" s="14"/>
      <c r="C19" s="14"/>
      <c r="D19" s="14"/>
      <c r="E19" s="14"/>
      <c r="F19" s="14"/>
    </row>
    <row r="20" spans="1:6">
      <c r="A20" s="14"/>
      <c r="B20" s="14"/>
      <c r="C20" s="14"/>
      <c r="D20" s="14"/>
      <c r="E20" s="14"/>
      <c r="F20" s="14"/>
    </row>
    <row r="21" spans="1:6">
      <c r="A21" s="14"/>
      <c r="B21" s="14"/>
      <c r="C21" s="14"/>
      <c r="D21" s="14"/>
      <c r="E21" s="14"/>
      <c r="F21" s="14"/>
    </row>
    <row r="22" spans="1:6">
      <c r="A22" s="14"/>
      <c r="B22" s="14"/>
      <c r="C22" s="14"/>
      <c r="D22" s="14"/>
      <c r="E22" s="14"/>
      <c r="F22" s="14"/>
    </row>
    <row r="23" spans="1:6">
      <c r="A23" s="14"/>
      <c r="B23" s="14"/>
      <c r="C23" s="14"/>
      <c r="D23" s="14"/>
      <c r="E23" s="14"/>
      <c r="F23" s="14"/>
    </row>
    <row r="24" spans="1:6">
      <c r="A24" s="14"/>
      <c r="B24" s="14"/>
      <c r="C24" s="14"/>
      <c r="D24" s="14"/>
      <c r="E24" s="14"/>
      <c r="F24" s="14"/>
    </row>
    <row r="25" spans="1:6">
      <c r="A25" s="14"/>
      <c r="B25" s="14"/>
      <c r="C25" s="14"/>
      <c r="D25" s="14"/>
      <c r="E25" s="14"/>
      <c r="F25" s="14"/>
    </row>
    <row r="26" spans="1:6">
      <c r="A26" s="14"/>
      <c r="B26" s="14"/>
      <c r="C26" s="14"/>
      <c r="D26" s="14"/>
      <c r="E26" s="14"/>
      <c r="F26" s="14"/>
    </row>
    <row r="27" spans="1:6">
      <c r="A27" s="14"/>
      <c r="B27" s="14"/>
      <c r="C27" s="14"/>
      <c r="D27" s="14"/>
      <c r="E27" s="14"/>
      <c r="F27" s="14"/>
    </row>
    <row r="28" spans="1:6">
      <c r="A28" s="14"/>
      <c r="B28" s="14"/>
      <c r="C28" s="14"/>
      <c r="D28" s="14"/>
      <c r="E28" s="14"/>
      <c r="F28" s="14"/>
    </row>
    <row r="29" spans="1:6">
      <c r="A29" s="14"/>
      <c r="B29" s="14"/>
      <c r="C29" s="14"/>
      <c r="D29" s="14"/>
      <c r="E29" s="14"/>
      <c r="F29" s="14"/>
    </row>
    <row r="30" spans="1:6">
      <c r="A30" s="14"/>
      <c r="B30" s="14"/>
      <c r="C30" s="14"/>
      <c r="D30" s="14"/>
      <c r="E30" s="14"/>
      <c r="F30" s="14"/>
    </row>
    <row r="31" spans="1:6">
      <c r="A31" s="14"/>
      <c r="B31" s="14"/>
      <c r="C31" s="14"/>
      <c r="D31" s="14"/>
      <c r="E31" s="14"/>
      <c r="F31" s="14"/>
    </row>
    <row r="32" spans="1:6">
      <c r="A32" s="14"/>
      <c r="B32" s="14"/>
      <c r="C32" s="14"/>
      <c r="D32" s="14"/>
      <c r="E32" s="14"/>
      <c r="F32" s="14"/>
    </row>
    <row r="33" spans="1:6">
      <c r="A33" s="14"/>
      <c r="B33" s="14"/>
      <c r="C33" s="14"/>
      <c r="D33" s="14"/>
      <c r="E33" s="14"/>
      <c r="F33" s="14"/>
    </row>
    <row r="34" spans="1:6">
      <c r="A34" s="14"/>
      <c r="B34" s="14"/>
      <c r="C34" s="14"/>
      <c r="D34" s="14"/>
      <c r="E34" s="14"/>
      <c r="F34" s="14"/>
    </row>
  </sheetData>
  <mergeCells count="1">
    <mergeCell ref="A2:F2"/>
  </mergeCells>
  <phoneticPr fontId="16" type="noConversion"/>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63"/>
  <sheetViews>
    <sheetView showGridLines="0" zoomScaleNormal="100" workbookViewId="0">
      <pane ySplit="3" topLeftCell="A4" activePane="bottomLeft" state="frozen"/>
      <selection pane="bottomLeft" activeCell="D18" sqref="D18"/>
    </sheetView>
  </sheetViews>
  <sheetFormatPr baseColWidth="10" defaultColWidth="8.6640625" defaultRowHeight="15"/>
  <cols>
    <col min="1" max="3" width="11" customWidth="1"/>
    <col min="4" max="4" width="44" customWidth="1"/>
    <col min="5" max="5" width="30" customWidth="1"/>
    <col min="6" max="6" width="56" customWidth="1"/>
  </cols>
  <sheetData>
    <row r="1" spans="1:6" ht="18">
      <c r="A1" s="10" t="s">
        <v>133</v>
      </c>
    </row>
    <row r="2" spans="1:6" ht="30" customHeight="1">
      <c r="A2" s="9" t="s">
        <v>134</v>
      </c>
      <c r="B2" s="9"/>
      <c r="C2" s="9"/>
      <c r="D2" s="9"/>
      <c r="E2" s="9"/>
      <c r="F2" s="9"/>
    </row>
    <row r="3" spans="1:6" ht="30" customHeight="1">
      <c r="A3" s="16" t="s">
        <v>100</v>
      </c>
      <c r="B3" s="16" t="s">
        <v>55</v>
      </c>
      <c r="C3" s="16" t="s">
        <v>135</v>
      </c>
      <c r="D3" s="16" t="s">
        <v>136</v>
      </c>
      <c r="E3" s="16" t="s">
        <v>137</v>
      </c>
      <c r="F3" s="16" t="s">
        <v>138</v>
      </c>
    </row>
    <row r="4" spans="1:6">
      <c r="A4" s="14" t="s">
        <v>101</v>
      </c>
      <c r="B4" s="14" t="s">
        <v>99</v>
      </c>
      <c r="C4" s="14" t="s">
        <v>139</v>
      </c>
      <c r="D4" s="14" t="s">
        <v>140</v>
      </c>
      <c r="E4" s="14" t="s">
        <v>141</v>
      </c>
      <c r="F4" s="14" t="s">
        <v>142</v>
      </c>
    </row>
    <row r="5" spans="1:6" ht="28">
      <c r="A5" s="14" t="s">
        <v>101</v>
      </c>
      <c r="B5" s="14" t="s">
        <v>99</v>
      </c>
      <c r="C5" s="14" t="s">
        <v>182</v>
      </c>
      <c r="D5" s="30" t="s">
        <v>264</v>
      </c>
      <c r="E5" s="30" t="s">
        <v>263</v>
      </c>
      <c r="F5" s="14" t="s">
        <v>142</v>
      </c>
    </row>
    <row r="6" spans="1:6">
      <c r="A6" s="14" t="s">
        <v>101</v>
      </c>
      <c r="B6" s="14" t="s">
        <v>99</v>
      </c>
      <c r="C6" s="14" t="s">
        <v>174</v>
      </c>
      <c r="D6" s="30" t="s">
        <v>262</v>
      </c>
      <c r="E6" s="30" t="s">
        <v>261</v>
      </c>
      <c r="F6" s="14" t="s">
        <v>142</v>
      </c>
    </row>
    <row r="7" spans="1:6">
      <c r="A7" s="30" t="s">
        <v>198</v>
      </c>
      <c r="B7" s="30" t="s">
        <v>256</v>
      </c>
      <c r="C7" s="14" t="s">
        <v>139</v>
      </c>
      <c r="D7" s="14" t="s">
        <v>140</v>
      </c>
      <c r="E7" s="14" t="s">
        <v>141</v>
      </c>
      <c r="F7" s="14" t="s">
        <v>142</v>
      </c>
    </row>
    <row r="8" spans="1:6" ht="28">
      <c r="A8" s="30" t="s">
        <v>198</v>
      </c>
      <c r="B8" s="30" t="s">
        <v>256</v>
      </c>
      <c r="C8" s="14" t="s">
        <v>182</v>
      </c>
      <c r="D8" s="30" t="s">
        <v>264</v>
      </c>
      <c r="E8" s="30" t="s">
        <v>263</v>
      </c>
      <c r="F8" s="14" t="s">
        <v>142</v>
      </c>
    </row>
    <row r="9" spans="1:6">
      <c r="A9" s="30" t="s">
        <v>198</v>
      </c>
      <c r="B9" s="30" t="s">
        <v>256</v>
      </c>
      <c r="C9" s="14" t="s">
        <v>174</v>
      </c>
      <c r="D9" s="30" t="s">
        <v>262</v>
      </c>
      <c r="E9" s="30" t="s">
        <v>261</v>
      </c>
      <c r="F9" s="14" t="s">
        <v>142</v>
      </c>
    </row>
    <row r="10" spans="1:6">
      <c r="A10" s="14"/>
      <c r="B10" s="14"/>
      <c r="C10" s="14"/>
      <c r="D10" s="14"/>
      <c r="E10" s="14"/>
      <c r="F10" s="14"/>
    </row>
    <row r="11" spans="1:6">
      <c r="A11" s="14"/>
      <c r="B11" s="14"/>
      <c r="C11" s="14"/>
      <c r="D11" s="14"/>
      <c r="E11" s="14"/>
      <c r="F11" s="14"/>
    </row>
    <row r="12" spans="1:6">
      <c r="A12" s="14"/>
      <c r="B12" s="14"/>
      <c r="C12" s="14"/>
      <c r="D12" s="14"/>
      <c r="E12" s="14"/>
      <c r="F12" s="14"/>
    </row>
    <row r="13" spans="1:6">
      <c r="A13" s="14"/>
      <c r="B13" s="14"/>
      <c r="C13" s="14"/>
      <c r="D13" s="14"/>
      <c r="E13" s="14"/>
      <c r="F13" s="14"/>
    </row>
    <row r="14" spans="1:6">
      <c r="A14" s="14"/>
      <c r="B14" s="14"/>
      <c r="C14" s="14"/>
      <c r="D14" s="14"/>
      <c r="E14" s="14"/>
      <c r="F14" s="14"/>
    </row>
    <row r="15" spans="1:6">
      <c r="A15" s="14"/>
      <c r="B15" s="14"/>
      <c r="C15" s="14"/>
      <c r="D15" s="14"/>
      <c r="E15" s="14"/>
      <c r="F15" s="14"/>
    </row>
    <row r="16" spans="1:6">
      <c r="A16" s="14"/>
      <c r="B16" s="14"/>
      <c r="C16" s="14"/>
      <c r="D16" s="14"/>
      <c r="E16" s="14"/>
      <c r="F16" s="14"/>
    </row>
    <row r="17" spans="1:6">
      <c r="A17" s="14"/>
      <c r="B17" s="14"/>
      <c r="C17" s="14"/>
      <c r="D17" s="14"/>
      <c r="E17" s="14"/>
      <c r="F17" s="14"/>
    </row>
    <row r="18" spans="1:6">
      <c r="A18" s="14"/>
      <c r="B18" s="14"/>
      <c r="C18" s="14"/>
      <c r="D18" s="14"/>
      <c r="E18" s="14"/>
      <c r="F18" s="14"/>
    </row>
    <row r="19" spans="1:6">
      <c r="A19" s="14"/>
      <c r="B19" s="14"/>
      <c r="C19" s="14"/>
      <c r="D19" s="14"/>
      <c r="E19" s="14"/>
      <c r="F19" s="14"/>
    </row>
    <row r="20" spans="1:6">
      <c r="A20" s="14"/>
      <c r="B20" s="14"/>
      <c r="C20" s="14"/>
      <c r="D20" s="14"/>
      <c r="E20" s="14"/>
      <c r="F20" s="14"/>
    </row>
    <row r="21" spans="1:6">
      <c r="A21" s="14"/>
      <c r="B21" s="14"/>
      <c r="C21" s="14"/>
      <c r="D21" s="14"/>
      <c r="E21" s="14"/>
      <c r="F21" s="14"/>
    </row>
    <row r="22" spans="1:6">
      <c r="A22" s="14"/>
      <c r="B22" s="14"/>
      <c r="C22" s="14"/>
      <c r="D22" s="14"/>
      <c r="E22" s="14"/>
      <c r="F22" s="14"/>
    </row>
    <row r="23" spans="1:6">
      <c r="A23" s="14"/>
      <c r="B23" s="14"/>
      <c r="C23" s="14"/>
      <c r="D23" s="14"/>
      <c r="E23" s="14"/>
      <c r="F23" s="14"/>
    </row>
    <row r="24" spans="1:6">
      <c r="A24" s="14"/>
      <c r="B24" s="14"/>
      <c r="C24" s="14"/>
      <c r="D24" s="14"/>
      <c r="E24" s="14"/>
      <c r="F24" s="14"/>
    </row>
    <row r="25" spans="1:6">
      <c r="A25" s="14"/>
      <c r="B25" s="14"/>
      <c r="C25" s="14"/>
      <c r="D25" s="14"/>
      <c r="E25" s="14"/>
      <c r="F25" s="14"/>
    </row>
    <row r="26" spans="1:6">
      <c r="A26" s="14"/>
      <c r="B26" s="14"/>
      <c r="C26" s="14"/>
      <c r="D26" s="14"/>
      <c r="E26" s="14"/>
      <c r="F26" s="14"/>
    </row>
    <row r="27" spans="1:6">
      <c r="A27" s="14"/>
      <c r="B27" s="14"/>
      <c r="C27" s="14"/>
      <c r="D27" s="14"/>
      <c r="E27" s="14"/>
      <c r="F27" s="14"/>
    </row>
    <row r="28" spans="1:6">
      <c r="A28" s="14"/>
      <c r="B28" s="14"/>
      <c r="C28" s="14"/>
      <c r="D28" s="14"/>
      <c r="E28" s="14"/>
      <c r="F28" s="14"/>
    </row>
    <row r="29" spans="1:6">
      <c r="A29" s="14"/>
      <c r="B29" s="14"/>
      <c r="C29" s="14"/>
      <c r="D29" s="14"/>
      <c r="E29" s="14"/>
      <c r="F29" s="14"/>
    </row>
    <row r="30" spans="1:6">
      <c r="A30" s="14"/>
      <c r="B30" s="14"/>
      <c r="C30" s="14"/>
      <c r="D30" s="14"/>
      <c r="E30" s="14"/>
      <c r="F30" s="14"/>
    </row>
    <row r="31" spans="1:6">
      <c r="A31" s="14"/>
      <c r="B31" s="14"/>
      <c r="C31" s="14"/>
      <c r="D31" s="14"/>
      <c r="E31" s="14"/>
      <c r="F31" s="14"/>
    </row>
    <row r="32" spans="1:6">
      <c r="A32" s="14"/>
      <c r="B32" s="14"/>
      <c r="C32" s="14"/>
      <c r="D32" s="14"/>
      <c r="E32" s="14"/>
      <c r="F32" s="14"/>
    </row>
    <row r="33" spans="1:6">
      <c r="A33" s="14"/>
      <c r="B33" s="14"/>
      <c r="C33" s="14"/>
      <c r="D33" s="14"/>
      <c r="E33" s="14"/>
      <c r="F33" s="14"/>
    </row>
    <row r="34" spans="1:6">
      <c r="A34" s="14"/>
      <c r="B34" s="14"/>
      <c r="C34" s="14"/>
      <c r="D34" s="14"/>
      <c r="E34" s="14"/>
      <c r="F34" s="14"/>
    </row>
    <row r="35" spans="1:6">
      <c r="A35" s="14"/>
      <c r="B35" s="14"/>
      <c r="C35" s="14"/>
      <c r="D35" s="14"/>
      <c r="E35" s="14"/>
      <c r="F35" s="14"/>
    </row>
    <row r="36" spans="1:6">
      <c r="A36" s="14"/>
      <c r="B36" s="14"/>
      <c r="C36" s="14"/>
      <c r="D36" s="14"/>
      <c r="E36" s="14"/>
      <c r="F36" s="14"/>
    </row>
    <row r="37" spans="1:6">
      <c r="A37" s="14"/>
      <c r="B37" s="14"/>
      <c r="C37" s="14"/>
      <c r="D37" s="14"/>
      <c r="E37" s="14"/>
      <c r="F37" s="14"/>
    </row>
    <row r="38" spans="1:6">
      <c r="A38" s="14"/>
      <c r="B38" s="14"/>
      <c r="C38" s="14"/>
      <c r="D38" s="14"/>
      <c r="E38" s="14"/>
      <c r="F38" s="14"/>
    </row>
    <row r="39" spans="1:6">
      <c r="A39" s="14"/>
      <c r="B39" s="14"/>
      <c r="C39" s="14"/>
      <c r="D39" s="14"/>
      <c r="E39" s="14"/>
      <c r="F39" s="14"/>
    </row>
    <row r="40" spans="1:6">
      <c r="A40" s="14"/>
      <c r="B40" s="14"/>
      <c r="C40" s="14"/>
      <c r="D40" s="14"/>
      <c r="E40" s="14"/>
      <c r="F40" s="14"/>
    </row>
    <row r="41" spans="1:6">
      <c r="A41" s="14"/>
      <c r="B41" s="14"/>
      <c r="C41" s="14"/>
      <c r="D41" s="14"/>
      <c r="E41" s="14"/>
      <c r="F41" s="14"/>
    </row>
    <row r="42" spans="1:6">
      <c r="A42" s="14"/>
      <c r="B42" s="14"/>
      <c r="C42" s="14"/>
      <c r="D42" s="14"/>
      <c r="E42" s="14"/>
      <c r="F42" s="14"/>
    </row>
    <row r="43" spans="1:6">
      <c r="A43" s="14"/>
      <c r="B43" s="14"/>
      <c r="C43" s="14"/>
      <c r="D43" s="14"/>
      <c r="E43" s="14"/>
      <c r="F43" s="14"/>
    </row>
    <row r="44" spans="1:6">
      <c r="A44" s="14"/>
      <c r="B44" s="14"/>
      <c r="C44" s="14"/>
      <c r="D44" s="14"/>
      <c r="E44" s="14"/>
      <c r="F44" s="14"/>
    </row>
    <row r="45" spans="1:6">
      <c r="A45" s="14"/>
      <c r="B45" s="14"/>
      <c r="C45" s="14"/>
      <c r="D45" s="14"/>
      <c r="E45" s="14"/>
      <c r="F45" s="14"/>
    </row>
    <row r="46" spans="1:6">
      <c r="A46" s="14"/>
      <c r="B46" s="14"/>
      <c r="C46" s="14"/>
      <c r="D46" s="14"/>
      <c r="E46" s="14"/>
      <c r="F46" s="14"/>
    </row>
    <row r="47" spans="1:6">
      <c r="A47" s="14"/>
      <c r="B47" s="14"/>
      <c r="C47" s="14"/>
      <c r="D47" s="14"/>
      <c r="E47" s="14"/>
      <c r="F47" s="14"/>
    </row>
    <row r="48" spans="1:6">
      <c r="A48" s="14"/>
      <c r="B48" s="14"/>
      <c r="C48" s="14"/>
      <c r="D48" s="14"/>
      <c r="E48" s="14"/>
      <c r="F48" s="14"/>
    </row>
    <row r="49" spans="1:6">
      <c r="A49" s="14"/>
      <c r="B49" s="14"/>
      <c r="C49" s="14"/>
      <c r="D49" s="14"/>
      <c r="E49" s="14"/>
      <c r="F49" s="14"/>
    </row>
    <row r="50" spans="1:6">
      <c r="A50" s="14"/>
      <c r="B50" s="14"/>
      <c r="C50" s="14"/>
      <c r="D50" s="14"/>
      <c r="E50" s="14"/>
      <c r="F50" s="14"/>
    </row>
    <row r="51" spans="1:6">
      <c r="A51" s="14"/>
      <c r="B51" s="14"/>
      <c r="C51" s="14"/>
      <c r="D51" s="14"/>
      <c r="E51" s="14"/>
      <c r="F51" s="14"/>
    </row>
    <row r="52" spans="1:6">
      <c r="A52" s="14"/>
      <c r="B52" s="14"/>
      <c r="C52" s="14"/>
      <c r="D52" s="14"/>
      <c r="E52" s="14"/>
      <c r="F52" s="14"/>
    </row>
    <row r="53" spans="1:6">
      <c r="A53" s="14"/>
      <c r="B53" s="14"/>
      <c r="C53" s="14"/>
      <c r="D53" s="14"/>
      <c r="E53" s="14"/>
      <c r="F53" s="14"/>
    </row>
    <row r="54" spans="1:6">
      <c r="A54" s="14"/>
      <c r="B54" s="14"/>
      <c r="C54" s="14"/>
      <c r="D54" s="14"/>
      <c r="E54" s="14"/>
      <c r="F54" s="14"/>
    </row>
    <row r="55" spans="1:6">
      <c r="A55" s="14"/>
      <c r="B55" s="14"/>
      <c r="C55" s="14"/>
      <c r="D55" s="14"/>
      <c r="E55" s="14"/>
      <c r="F55" s="14"/>
    </row>
    <row r="56" spans="1:6">
      <c r="A56" s="14"/>
      <c r="B56" s="14"/>
      <c r="C56" s="14"/>
      <c r="D56" s="14"/>
      <c r="E56" s="14"/>
      <c r="F56" s="14"/>
    </row>
    <row r="57" spans="1:6">
      <c r="A57" s="14"/>
      <c r="B57" s="14"/>
      <c r="C57" s="14"/>
      <c r="D57" s="14"/>
      <c r="E57" s="14"/>
      <c r="F57" s="14"/>
    </row>
    <row r="58" spans="1:6">
      <c r="A58" s="14"/>
      <c r="B58" s="14"/>
      <c r="C58" s="14"/>
      <c r="D58" s="14"/>
      <c r="E58" s="14"/>
      <c r="F58" s="14"/>
    </row>
    <row r="59" spans="1:6">
      <c r="A59" s="14"/>
      <c r="B59" s="14"/>
      <c r="C59" s="14"/>
      <c r="D59" s="14"/>
      <c r="E59" s="14"/>
      <c r="F59" s="14"/>
    </row>
    <row r="60" spans="1:6">
      <c r="A60" s="14"/>
      <c r="B60" s="14"/>
      <c r="C60" s="14"/>
      <c r="D60" s="14"/>
      <c r="E60" s="14"/>
      <c r="F60" s="14"/>
    </row>
    <row r="61" spans="1:6">
      <c r="A61" s="14"/>
      <c r="B61" s="14"/>
      <c r="C61" s="14"/>
      <c r="D61" s="14"/>
      <c r="E61" s="14"/>
      <c r="F61" s="14"/>
    </row>
    <row r="62" spans="1:6">
      <c r="A62" s="14"/>
      <c r="B62" s="14"/>
      <c r="C62" s="14"/>
      <c r="D62" s="14"/>
      <c r="E62" s="14"/>
      <c r="F62" s="14"/>
    </row>
    <row r="63" spans="1:6">
      <c r="A63" s="14"/>
      <c r="B63" s="14"/>
      <c r="C63" s="14"/>
      <c r="D63" s="14"/>
      <c r="E63" s="14"/>
      <c r="F63" s="14"/>
    </row>
  </sheetData>
  <mergeCells count="1">
    <mergeCell ref="A2:F2"/>
  </mergeCells>
  <phoneticPr fontId="16" type="noConversion"/>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600-000000000000}">
          <x14:formula1>
            <xm:f>Lists!$H$2:$H$5</xm:f>
          </x14:formula1>
          <x14:formula2>
            <xm:f>0</xm:f>
          </x14:formula2>
          <xm:sqref>C4:C63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64"/>
  <sheetViews>
    <sheetView showGridLines="0" zoomScaleNormal="100" workbookViewId="0">
      <pane ySplit="3" topLeftCell="A4" activePane="bottomLeft" state="frozen"/>
      <selection pane="bottomLeft" activeCell="C8" sqref="C8"/>
    </sheetView>
  </sheetViews>
  <sheetFormatPr baseColWidth="10" defaultColWidth="8.6640625" defaultRowHeight="15"/>
  <cols>
    <col min="1" max="1" width="11" customWidth="1"/>
    <col min="2" max="3" width="10" customWidth="1"/>
    <col min="4" max="4" width="11" customWidth="1"/>
    <col min="5" max="5" width="24" customWidth="1"/>
    <col min="6" max="6" width="20" customWidth="1"/>
    <col min="7" max="7" width="46" customWidth="1"/>
    <col min="8" max="8" width="36" customWidth="1"/>
    <col min="9" max="9" width="16" customWidth="1"/>
    <col min="10" max="10" width="14" customWidth="1"/>
    <col min="11" max="12" width="13" customWidth="1"/>
  </cols>
  <sheetData>
    <row r="1" spans="1:12" ht="18">
      <c r="A1" s="10" t="s">
        <v>58</v>
      </c>
    </row>
    <row r="2" spans="1:12" ht="30" customHeight="1">
      <c r="A2" s="9" t="s">
        <v>143</v>
      </c>
      <c r="B2" s="9"/>
      <c r="C2" s="9"/>
      <c r="D2" s="9"/>
      <c r="E2" s="9"/>
      <c r="F2" s="9"/>
      <c r="G2" s="9"/>
      <c r="H2" s="9"/>
      <c r="I2" s="9"/>
      <c r="J2" s="9"/>
      <c r="K2" s="9"/>
      <c r="L2" s="9"/>
    </row>
    <row r="3" spans="1:12" ht="30" customHeight="1">
      <c r="A3" s="16" t="s">
        <v>100</v>
      </c>
      <c r="B3" s="16" t="s">
        <v>55</v>
      </c>
      <c r="C3" s="16" t="s">
        <v>144</v>
      </c>
      <c r="D3" s="16" t="s">
        <v>145</v>
      </c>
      <c r="E3" s="16" t="s">
        <v>146</v>
      </c>
      <c r="F3" s="16" t="s">
        <v>147</v>
      </c>
      <c r="G3" s="16" t="s">
        <v>148</v>
      </c>
      <c r="H3" s="16" t="s">
        <v>149</v>
      </c>
      <c r="I3" s="16" t="s">
        <v>150</v>
      </c>
      <c r="J3" s="16" t="s">
        <v>151</v>
      </c>
      <c r="K3" s="16" t="s">
        <v>152</v>
      </c>
      <c r="L3" s="16" t="s">
        <v>153</v>
      </c>
    </row>
    <row r="4" spans="1:12" ht="28">
      <c r="A4" s="14" t="s">
        <v>101</v>
      </c>
      <c r="B4" s="14" t="s">
        <v>99</v>
      </c>
      <c r="C4" s="14" t="s">
        <v>154</v>
      </c>
      <c r="D4" s="14" t="s">
        <v>155</v>
      </c>
      <c r="E4" s="14" t="s">
        <v>156</v>
      </c>
      <c r="F4" s="14"/>
      <c r="G4" s="14" t="s">
        <v>157</v>
      </c>
      <c r="H4" s="14"/>
      <c r="I4" s="14" t="s">
        <v>158</v>
      </c>
      <c r="J4" s="14"/>
      <c r="K4" s="14" t="s">
        <v>159</v>
      </c>
      <c r="L4" s="14"/>
    </row>
    <row r="5" spans="1:12" ht="42">
      <c r="A5" s="14" t="s">
        <v>101</v>
      </c>
      <c r="B5" s="14" t="s">
        <v>99</v>
      </c>
      <c r="C5" s="14" t="s">
        <v>154</v>
      </c>
      <c r="D5" s="14" t="s">
        <v>155</v>
      </c>
      <c r="E5" s="30" t="s">
        <v>265</v>
      </c>
      <c r="F5" s="14"/>
      <c r="G5" s="30" t="s">
        <v>266</v>
      </c>
      <c r="H5" s="14"/>
      <c r="I5" s="14" t="s">
        <v>158</v>
      </c>
      <c r="J5" s="14"/>
      <c r="K5" s="33">
        <v>0.1111111111111111</v>
      </c>
      <c r="L5" s="14"/>
    </row>
    <row r="6" spans="1:12" ht="28">
      <c r="A6" s="30" t="s">
        <v>198</v>
      </c>
      <c r="B6" s="30" t="s">
        <v>256</v>
      </c>
      <c r="C6" s="30" t="s">
        <v>267</v>
      </c>
      <c r="D6" s="14" t="s">
        <v>155</v>
      </c>
      <c r="E6" s="14" t="s">
        <v>156</v>
      </c>
      <c r="F6" s="14"/>
      <c r="G6" s="14" t="s">
        <v>157</v>
      </c>
      <c r="H6" s="14"/>
      <c r="I6" s="14" t="s">
        <v>158</v>
      </c>
      <c r="J6" s="14"/>
      <c r="K6" s="14" t="s">
        <v>159</v>
      </c>
      <c r="L6" s="14"/>
    </row>
    <row r="7" spans="1:12" ht="42">
      <c r="A7" s="30" t="s">
        <v>198</v>
      </c>
      <c r="B7" s="30" t="s">
        <v>256</v>
      </c>
      <c r="C7" s="30" t="s">
        <v>268</v>
      </c>
      <c r="D7" s="14" t="s">
        <v>155</v>
      </c>
      <c r="E7" s="30" t="s">
        <v>265</v>
      </c>
      <c r="F7" s="14"/>
      <c r="G7" s="30" t="s">
        <v>266</v>
      </c>
      <c r="H7" s="14"/>
      <c r="I7" s="14" t="s">
        <v>158</v>
      </c>
      <c r="J7" s="14"/>
      <c r="K7" s="33">
        <v>0.1111111111111111</v>
      </c>
      <c r="L7" s="14"/>
    </row>
    <row r="8" spans="1:12">
      <c r="A8" s="14"/>
      <c r="B8" s="14"/>
      <c r="C8" s="14"/>
      <c r="D8" s="14"/>
      <c r="E8" s="14"/>
      <c r="F8" s="14"/>
      <c r="G8" s="14"/>
      <c r="H8" s="14"/>
      <c r="I8" s="14"/>
      <c r="J8" s="14"/>
      <c r="K8" s="14"/>
      <c r="L8" s="14"/>
    </row>
    <row r="9" spans="1:12">
      <c r="A9" s="14"/>
      <c r="B9" s="14"/>
      <c r="C9" s="14"/>
      <c r="D9" s="14"/>
      <c r="E9" s="14"/>
      <c r="F9" s="14"/>
      <c r="G9" s="14"/>
      <c r="H9" s="14"/>
      <c r="I9" s="14"/>
      <c r="J9" s="14"/>
      <c r="K9" s="14"/>
      <c r="L9" s="14"/>
    </row>
    <row r="10" spans="1:12">
      <c r="A10" s="14"/>
      <c r="B10" s="14"/>
      <c r="C10" s="14"/>
      <c r="D10" s="14"/>
      <c r="E10" s="14"/>
      <c r="F10" s="14"/>
      <c r="G10" s="14"/>
      <c r="H10" s="14"/>
      <c r="I10" s="14"/>
      <c r="J10" s="14"/>
      <c r="K10" s="14"/>
      <c r="L10" s="14"/>
    </row>
    <row r="11" spans="1:12">
      <c r="A11" s="14"/>
      <c r="B11" s="14"/>
      <c r="C11" s="14"/>
      <c r="D11" s="14"/>
      <c r="E11" s="14"/>
      <c r="F11" s="14"/>
      <c r="G11" s="14"/>
      <c r="H11" s="14"/>
      <c r="I11" s="14"/>
      <c r="J11" s="14"/>
      <c r="K11" s="14"/>
      <c r="L11" s="14"/>
    </row>
    <row r="12" spans="1:12">
      <c r="A12" s="14"/>
      <c r="B12" s="14"/>
      <c r="C12" s="14"/>
      <c r="D12" s="14"/>
      <c r="E12" s="14"/>
      <c r="F12" s="14"/>
      <c r="G12" s="14"/>
      <c r="H12" s="14"/>
      <c r="I12" s="14"/>
      <c r="J12" s="14"/>
      <c r="K12" s="14"/>
      <c r="L12" s="14"/>
    </row>
    <row r="13" spans="1:12">
      <c r="A13" s="14"/>
      <c r="B13" s="14"/>
      <c r="C13" s="14"/>
      <c r="D13" s="14"/>
      <c r="E13" s="14"/>
      <c r="F13" s="14"/>
      <c r="G13" s="14"/>
      <c r="H13" s="14"/>
      <c r="I13" s="14"/>
      <c r="J13" s="14"/>
      <c r="K13" s="14"/>
      <c r="L13" s="14"/>
    </row>
    <row r="14" spans="1:12">
      <c r="A14" s="14"/>
      <c r="B14" s="14"/>
      <c r="C14" s="14"/>
      <c r="D14" s="14"/>
      <c r="E14" s="14"/>
      <c r="F14" s="14"/>
      <c r="G14" s="14"/>
      <c r="H14" s="14"/>
      <c r="I14" s="14"/>
      <c r="J14" s="14"/>
      <c r="K14" s="14"/>
      <c r="L14" s="14"/>
    </row>
    <row r="15" spans="1:12">
      <c r="A15" s="14"/>
      <c r="B15" s="14"/>
      <c r="C15" s="14"/>
      <c r="D15" s="14"/>
      <c r="E15" s="14"/>
      <c r="F15" s="14"/>
      <c r="G15" s="14"/>
      <c r="H15" s="14"/>
      <c r="I15" s="14"/>
      <c r="J15" s="14"/>
      <c r="K15" s="14"/>
      <c r="L15" s="14"/>
    </row>
    <row r="16" spans="1:12">
      <c r="A16" s="14"/>
      <c r="B16" s="14"/>
      <c r="C16" s="14"/>
      <c r="D16" s="14"/>
      <c r="E16" s="14"/>
      <c r="F16" s="14"/>
      <c r="G16" s="14"/>
      <c r="H16" s="14"/>
      <c r="I16" s="14"/>
      <c r="J16" s="14"/>
      <c r="K16" s="14"/>
      <c r="L16" s="14"/>
    </row>
    <row r="17" spans="1:12">
      <c r="A17" s="14"/>
      <c r="B17" s="14"/>
      <c r="C17" s="14"/>
      <c r="D17" s="14"/>
      <c r="E17" s="14"/>
      <c r="F17" s="14"/>
      <c r="G17" s="14"/>
      <c r="H17" s="14"/>
      <c r="I17" s="14"/>
      <c r="J17" s="14"/>
      <c r="K17" s="14"/>
      <c r="L17" s="14"/>
    </row>
    <row r="18" spans="1:12">
      <c r="A18" s="14"/>
      <c r="B18" s="14"/>
      <c r="C18" s="14"/>
      <c r="D18" s="14"/>
      <c r="E18" s="14"/>
      <c r="F18" s="14"/>
      <c r="G18" s="14"/>
      <c r="H18" s="14"/>
      <c r="I18" s="14"/>
      <c r="J18" s="14"/>
      <c r="K18" s="14"/>
      <c r="L18" s="14"/>
    </row>
    <row r="19" spans="1:12">
      <c r="A19" s="14"/>
      <c r="B19" s="14"/>
      <c r="C19" s="14"/>
      <c r="D19" s="14"/>
      <c r="E19" s="14"/>
      <c r="F19" s="14"/>
      <c r="G19" s="14"/>
      <c r="H19" s="14"/>
      <c r="I19" s="14"/>
      <c r="J19" s="14"/>
      <c r="K19" s="14"/>
      <c r="L19" s="14"/>
    </row>
    <row r="20" spans="1:12">
      <c r="A20" s="14"/>
      <c r="B20" s="14"/>
      <c r="C20" s="14"/>
      <c r="D20" s="14"/>
      <c r="E20" s="14"/>
      <c r="F20" s="14"/>
      <c r="G20" s="14"/>
      <c r="H20" s="14"/>
      <c r="I20" s="14"/>
      <c r="J20" s="14"/>
      <c r="K20" s="14"/>
      <c r="L20" s="14"/>
    </row>
    <row r="21" spans="1:12">
      <c r="A21" s="14"/>
      <c r="B21" s="14"/>
      <c r="C21" s="14"/>
      <c r="D21" s="14"/>
      <c r="E21" s="14"/>
      <c r="F21" s="14"/>
      <c r="G21" s="14"/>
      <c r="H21" s="14"/>
      <c r="I21" s="14"/>
      <c r="J21" s="14"/>
      <c r="K21" s="14"/>
      <c r="L21" s="14"/>
    </row>
    <row r="22" spans="1:12">
      <c r="A22" s="14"/>
      <c r="B22" s="14"/>
      <c r="C22" s="14"/>
      <c r="D22" s="14"/>
      <c r="E22" s="14"/>
      <c r="F22" s="14"/>
      <c r="G22" s="14"/>
      <c r="H22" s="14"/>
      <c r="I22" s="14"/>
      <c r="J22" s="14"/>
      <c r="K22" s="14"/>
      <c r="L22" s="14"/>
    </row>
    <row r="23" spans="1:12">
      <c r="A23" s="14"/>
      <c r="B23" s="14"/>
      <c r="C23" s="14"/>
      <c r="D23" s="14"/>
      <c r="E23" s="14"/>
      <c r="F23" s="14"/>
      <c r="G23" s="14"/>
      <c r="H23" s="14"/>
      <c r="I23" s="14"/>
      <c r="J23" s="14"/>
      <c r="K23" s="14"/>
      <c r="L23" s="14"/>
    </row>
    <row r="24" spans="1:12">
      <c r="A24" s="14"/>
      <c r="B24" s="14"/>
      <c r="C24" s="14"/>
      <c r="D24" s="14"/>
      <c r="E24" s="14"/>
      <c r="F24" s="14"/>
      <c r="G24" s="14"/>
      <c r="H24" s="14"/>
      <c r="I24" s="14"/>
      <c r="J24" s="14"/>
      <c r="K24" s="14"/>
      <c r="L24" s="14"/>
    </row>
    <row r="25" spans="1:12">
      <c r="A25" s="14"/>
      <c r="B25" s="14"/>
      <c r="C25" s="14"/>
      <c r="D25" s="14"/>
      <c r="E25" s="14"/>
      <c r="F25" s="14"/>
      <c r="G25" s="14"/>
      <c r="H25" s="14"/>
      <c r="I25" s="14"/>
      <c r="J25" s="14"/>
      <c r="K25" s="14"/>
      <c r="L25" s="14"/>
    </row>
    <row r="26" spans="1:12">
      <c r="A26" s="14"/>
      <c r="B26" s="14"/>
      <c r="C26" s="14"/>
      <c r="D26" s="14"/>
      <c r="E26" s="14"/>
      <c r="F26" s="14"/>
      <c r="G26" s="14"/>
      <c r="H26" s="14"/>
      <c r="I26" s="14"/>
      <c r="J26" s="14"/>
      <c r="K26" s="14"/>
      <c r="L26" s="14"/>
    </row>
    <row r="27" spans="1:12">
      <c r="A27" s="14"/>
      <c r="B27" s="14"/>
      <c r="C27" s="14"/>
      <c r="D27" s="14"/>
      <c r="E27" s="14"/>
      <c r="F27" s="14"/>
      <c r="G27" s="14"/>
      <c r="H27" s="14"/>
      <c r="I27" s="14"/>
      <c r="J27" s="14"/>
      <c r="K27" s="14"/>
      <c r="L27" s="14"/>
    </row>
    <row r="28" spans="1:12">
      <c r="A28" s="14"/>
      <c r="B28" s="14"/>
      <c r="C28" s="14"/>
      <c r="D28" s="14"/>
      <c r="E28" s="14"/>
      <c r="F28" s="14"/>
      <c r="G28" s="14"/>
      <c r="H28" s="14"/>
      <c r="I28" s="14"/>
      <c r="J28" s="14"/>
      <c r="K28" s="14"/>
      <c r="L28" s="14"/>
    </row>
    <row r="29" spans="1:12">
      <c r="A29" s="14"/>
      <c r="B29" s="14"/>
      <c r="C29" s="14"/>
      <c r="D29" s="14"/>
      <c r="E29" s="14"/>
      <c r="F29" s="14"/>
      <c r="G29" s="14"/>
      <c r="H29" s="14"/>
      <c r="I29" s="14"/>
      <c r="J29" s="14"/>
      <c r="K29" s="14"/>
      <c r="L29" s="14"/>
    </row>
    <row r="30" spans="1:12">
      <c r="A30" s="14"/>
      <c r="B30" s="14"/>
      <c r="C30" s="14"/>
      <c r="D30" s="14"/>
      <c r="E30" s="14"/>
      <c r="F30" s="14"/>
      <c r="G30" s="14"/>
      <c r="H30" s="14"/>
      <c r="I30" s="14"/>
      <c r="J30" s="14"/>
      <c r="K30" s="14"/>
      <c r="L30" s="14"/>
    </row>
    <row r="31" spans="1:12">
      <c r="A31" s="14"/>
      <c r="B31" s="14"/>
      <c r="C31" s="14"/>
      <c r="D31" s="14"/>
      <c r="E31" s="14"/>
      <c r="F31" s="14"/>
      <c r="G31" s="14"/>
      <c r="H31" s="14"/>
      <c r="I31" s="14"/>
      <c r="J31" s="14"/>
      <c r="K31" s="14"/>
      <c r="L31" s="14"/>
    </row>
    <row r="32" spans="1:12">
      <c r="A32" s="14"/>
      <c r="B32" s="14"/>
      <c r="C32" s="14"/>
      <c r="D32" s="14"/>
      <c r="E32" s="14"/>
      <c r="F32" s="14"/>
      <c r="G32" s="14"/>
      <c r="H32" s="14"/>
      <c r="I32" s="14"/>
      <c r="J32" s="14"/>
      <c r="K32" s="14"/>
      <c r="L32" s="14"/>
    </row>
    <row r="33" spans="1:12">
      <c r="A33" s="14"/>
      <c r="B33" s="14"/>
      <c r="C33" s="14"/>
      <c r="D33" s="14"/>
      <c r="E33" s="14"/>
      <c r="F33" s="14"/>
      <c r="G33" s="14"/>
      <c r="H33" s="14"/>
      <c r="I33" s="14"/>
      <c r="J33" s="14"/>
      <c r="K33" s="14"/>
      <c r="L33" s="14"/>
    </row>
    <row r="34" spans="1:12">
      <c r="A34" s="14"/>
      <c r="B34" s="14"/>
      <c r="C34" s="14"/>
      <c r="D34" s="14"/>
      <c r="E34" s="14"/>
      <c r="F34" s="14"/>
      <c r="G34" s="14"/>
      <c r="H34" s="14"/>
      <c r="I34" s="14"/>
      <c r="J34" s="14"/>
      <c r="K34" s="14"/>
      <c r="L34" s="14"/>
    </row>
    <row r="35" spans="1:12">
      <c r="A35" s="14"/>
      <c r="B35" s="14"/>
      <c r="C35" s="14"/>
      <c r="D35" s="14"/>
      <c r="E35" s="14"/>
      <c r="F35" s="14"/>
      <c r="G35" s="14"/>
      <c r="H35" s="14"/>
      <c r="I35" s="14"/>
      <c r="J35" s="14"/>
      <c r="K35" s="14"/>
      <c r="L35" s="14"/>
    </row>
    <row r="36" spans="1:12">
      <c r="A36" s="14"/>
      <c r="B36" s="14"/>
      <c r="C36" s="14"/>
      <c r="D36" s="14"/>
      <c r="E36" s="14"/>
      <c r="F36" s="14"/>
      <c r="G36" s="14"/>
      <c r="H36" s="14"/>
      <c r="I36" s="14"/>
      <c r="J36" s="14"/>
      <c r="K36" s="14"/>
      <c r="L36" s="14"/>
    </row>
    <row r="37" spans="1:12">
      <c r="A37" s="14"/>
      <c r="B37" s="14"/>
      <c r="C37" s="14"/>
      <c r="D37" s="14"/>
      <c r="E37" s="14"/>
      <c r="F37" s="14"/>
      <c r="G37" s="14"/>
      <c r="H37" s="14"/>
      <c r="I37" s="14"/>
      <c r="J37" s="14"/>
      <c r="K37" s="14"/>
      <c r="L37" s="14"/>
    </row>
    <row r="38" spans="1:12">
      <c r="A38" s="14"/>
      <c r="B38" s="14"/>
      <c r="C38" s="14"/>
      <c r="D38" s="14"/>
      <c r="E38" s="14"/>
      <c r="F38" s="14"/>
      <c r="G38" s="14"/>
      <c r="H38" s="14"/>
      <c r="I38" s="14"/>
      <c r="J38" s="14"/>
      <c r="K38" s="14"/>
      <c r="L38" s="14"/>
    </row>
    <row r="39" spans="1:12">
      <c r="A39" s="14"/>
      <c r="B39" s="14"/>
      <c r="C39" s="14"/>
      <c r="D39" s="14"/>
      <c r="E39" s="14"/>
      <c r="F39" s="14"/>
      <c r="G39" s="14"/>
      <c r="H39" s="14"/>
      <c r="I39" s="14"/>
      <c r="J39" s="14"/>
      <c r="K39" s="14"/>
      <c r="L39" s="14"/>
    </row>
    <row r="40" spans="1:12">
      <c r="A40" s="14"/>
      <c r="B40" s="14"/>
      <c r="C40" s="14"/>
      <c r="D40" s="14"/>
      <c r="E40" s="14"/>
      <c r="F40" s="14"/>
      <c r="G40" s="14"/>
      <c r="H40" s="14"/>
      <c r="I40" s="14"/>
      <c r="J40" s="14"/>
      <c r="K40" s="14"/>
      <c r="L40" s="14"/>
    </row>
    <row r="41" spans="1:12">
      <c r="A41" s="14"/>
      <c r="B41" s="14"/>
      <c r="C41" s="14"/>
      <c r="D41" s="14"/>
      <c r="E41" s="14"/>
      <c r="F41" s="14"/>
      <c r="G41" s="14"/>
      <c r="H41" s="14"/>
      <c r="I41" s="14"/>
      <c r="J41" s="14"/>
      <c r="K41" s="14"/>
      <c r="L41" s="14"/>
    </row>
    <row r="42" spans="1:12">
      <c r="A42" s="14"/>
      <c r="B42" s="14"/>
      <c r="C42" s="14"/>
      <c r="D42" s="14"/>
      <c r="E42" s="14"/>
      <c r="F42" s="14"/>
      <c r="G42" s="14"/>
      <c r="H42" s="14"/>
      <c r="I42" s="14"/>
      <c r="J42" s="14"/>
      <c r="K42" s="14"/>
      <c r="L42" s="14"/>
    </row>
    <row r="43" spans="1:12">
      <c r="A43" s="14"/>
      <c r="B43" s="14"/>
      <c r="C43" s="14"/>
      <c r="D43" s="14"/>
      <c r="E43" s="14"/>
      <c r="F43" s="14"/>
      <c r="G43" s="14"/>
      <c r="H43" s="14"/>
      <c r="I43" s="14"/>
      <c r="J43" s="14"/>
      <c r="K43" s="14"/>
      <c r="L43" s="14"/>
    </row>
    <row r="44" spans="1:12">
      <c r="A44" s="14"/>
      <c r="B44" s="14"/>
      <c r="C44" s="14"/>
      <c r="D44" s="14"/>
      <c r="E44" s="14"/>
      <c r="F44" s="14"/>
      <c r="G44" s="14"/>
      <c r="H44" s="14"/>
      <c r="I44" s="14"/>
      <c r="J44" s="14"/>
      <c r="K44" s="14"/>
      <c r="L44" s="14"/>
    </row>
    <row r="45" spans="1:12">
      <c r="A45" s="14"/>
      <c r="B45" s="14"/>
      <c r="C45" s="14"/>
      <c r="D45" s="14"/>
      <c r="E45" s="14"/>
      <c r="F45" s="14"/>
      <c r="G45" s="14"/>
      <c r="H45" s="14"/>
      <c r="I45" s="14"/>
      <c r="J45" s="14"/>
      <c r="K45" s="14"/>
      <c r="L45" s="14"/>
    </row>
    <row r="46" spans="1:12">
      <c r="A46" s="14"/>
      <c r="B46" s="14"/>
      <c r="C46" s="14"/>
      <c r="D46" s="14"/>
      <c r="E46" s="14"/>
      <c r="F46" s="14"/>
      <c r="G46" s="14"/>
      <c r="H46" s="14"/>
      <c r="I46" s="14"/>
      <c r="J46" s="14"/>
      <c r="K46" s="14"/>
      <c r="L46" s="14"/>
    </row>
    <row r="47" spans="1:12">
      <c r="A47" s="14"/>
      <c r="B47" s="14"/>
      <c r="C47" s="14"/>
      <c r="D47" s="14"/>
      <c r="E47" s="14"/>
      <c r="F47" s="14"/>
      <c r="G47" s="14"/>
      <c r="H47" s="14"/>
      <c r="I47" s="14"/>
      <c r="J47" s="14"/>
      <c r="K47" s="14"/>
      <c r="L47" s="14"/>
    </row>
    <row r="48" spans="1:12">
      <c r="A48" s="14"/>
      <c r="B48" s="14"/>
      <c r="C48" s="14"/>
      <c r="D48" s="14"/>
      <c r="E48" s="14"/>
      <c r="F48" s="14"/>
      <c r="G48" s="14"/>
      <c r="H48" s="14"/>
      <c r="I48" s="14"/>
      <c r="J48" s="14"/>
      <c r="K48" s="14"/>
      <c r="L48" s="14"/>
    </row>
    <row r="49" spans="1:12">
      <c r="A49" s="14"/>
      <c r="B49" s="14"/>
      <c r="C49" s="14"/>
      <c r="D49" s="14"/>
      <c r="E49" s="14"/>
      <c r="F49" s="14"/>
      <c r="G49" s="14"/>
      <c r="H49" s="14"/>
      <c r="I49" s="14"/>
      <c r="J49" s="14"/>
      <c r="K49" s="14"/>
      <c r="L49" s="14"/>
    </row>
    <row r="50" spans="1:12">
      <c r="A50" s="14"/>
      <c r="B50" s="14"/>
      <c r="C50" s="14"/>
      <c r="D50" s="14"/>
      <c r="E50" s="14"/>
      <c r="F50" s="14"/>
      <c r="G50" s="14"/>
      <c r="H50" s="14"/>
      <c r="I50" s="14"/>
      <c r="J50" s="14"/>
      <c r="K50" s="14"/>
      <c r="L50" s="14"/>
    </row>
    <row r="51" spans="1:12">
      <c r="A51" s="14"/>
      <c r="B51" s="14"/>
      <c r="C51" s="14"/>
      <c r="D51" s="14"/>
      <c r="E51" s="14"/>
      <c r="F51" s="14"/>
      <c r="G51" s="14"/>
      <c r="H51" s="14"/>
      <c r="I51" s="14"/>
      <c r="J51" s="14"/>
      <c r="K51" s="14"/>
      <c r="L51" s="14"/>
    </row>
    <row r="52" spans="1:12">
      <c r="A52" s="14"/>
      <c r="B52" s="14"/>
      <c r="C52" s="14"/>
      <c r="D52" s="14"/>
      <c r="E52" s="14"/>
      <c r="F52" s="14"/>
      <c r="G52" s="14"/>
      <c r="H52" s="14"/>
      <c r="I52" s="14"/>
      <c r="J52" s="14"/>
      <c r="K52" s="14"/>
      <c r="L52" s="14"/>
    </row>
    <row r="53" spans="1:12">
      <c r="A53" s="14"/>
      <c r="B53" s="14"/>
      <c r="C53" s="14"/>
      <c r="D53" s="14"/>
      <c r="E53" s="14"/>
      <c r="F53" s="14"/>
      <c r="G53" s="14"/>
      <c r="H53" s="14"/>
      <c r="I53" s="14"/>
      <c r="J53" s="14"/>
      <c r="K53" s="14"/>
      <c r="L53" s="14"/>
    </row>
    <row r="54" spans="1:12">
      <c r="A54" s="14"/>
      <c r="B54" s="14"/>
      <c r="C54" s="14"/>
      <c r="D54" s="14"/>
      <c r="E54" s="14"/>
      <c r="F54" s="14"/>
      <c r="G54" s="14"/>
      <c r="H54" s="14"/>
      <c r="I54" s="14"/>
      <c r="J54" s="14"/>
      <c r="K54" s="14"/>
      <c r="L54" s="14"/>
    </row>
    <row r="55" spans="1:12">
      <c r="A55" s="14"/>
      <c r="B55" s="14"/>
      <c r="C55" s="14"/>
      <c r="D55" s="14"/>
      <c r="E55" s="14"/>
      <c r="F55" s="14"/>
      <c r="G55" s="14"/>
      <c r="H55" s="14"/>
      <c r="I55" s="14"/>
      <c r="J55" s="14"/>
      <c r="K55" s="14"/>
      <c r="L55" s="14"/>
    </row>
    <row r="56" spans="1:12">
      <c r="A56" s="14"/>
      <c r="B56" s="14"/>
      <c r="C56" s="14"/>
      <c r="D56" s="14"/>
      <c r="E56" s="14"/>
      <c r="F56" s="14"/>
      <c r="G56" s="14"/>
      <c r="H56" s="14"/>
      <c r="I56" s="14"/>
      <c r="J56" s="14"/>
      <c r="K56" s="14"/>
      <c r="L56" s="14"/>
    </row>
    <row r="57" spans="1:12">
      <c r="A57" s="14"/>
      <c r="B57" s="14"/>
      <c r="C57" s="14"/>
      <c r="D57" s="14"/>
      <c r="E57" s="14"/>
      <c r="F57" s="14"/>
      <c r="G57" s="14"/>
      <c r="H57" s="14"/>
      <c r="I57" s="14"/>
      <c r="J57" s="14"/>
      <c r="K57" s="14"/>
      <c r="L57" s="14"/>
    </row>
    <row r="58" spans="1:12">
      <c r="A58" s="14"/>
      <c r="B58" s="14"/>
      <c r="C58" s="14"/>
      <c r="D58" s="14"/>
      <c r="E58" s="14"/>
      <c r="F58" s="14"/>
      <c r="G58" s="14"/>
      <c r="H58" s="14"/>
      <c r="I58" s="14"/>
      <c r="J58" s="14"/>
      <c r="K58" s="14"/>
      <c r="L58" s="14"/>
    </row>
    <row r="59" spans="1:12">
      <c r="A59" s="14"/>
      <c r="B59" s="14"/>
      <c r="C59" s="14"/>
      <c r="D59" s="14"/>
      <c r="E59" s="14"/>
      <c r="F59" s="14"/>
      <c r="G59" s="14"/>
      <c r="H59" s="14"/>
      <c r="I59" s="14"/>
      <c r="J59" s="14"/>
      <c r="K59" s="14"/>
      <c r="L59" s="14"/>
    </row>
    <row r="60" spans="1:12">
      <c r="A60" s="14"/>
      <c r="B60" s="14"/>
      <c r="C60" s="14"/>
      <c r="D60" s="14"/>
      <c r="E60" s="14"/>
      <c r="F60" s="14"/>
      <c r="G60" s="14"/>
      <c r="H60" s="14"/>
      <c r="I60" s="14"/>
      <c r="J60" s="14"/>
      <c r="K60" s="14"/>
      <c r="L60" s="14"/>
    </row>
    <row r="61" spans="1:12">
      <c r="A61" s="14"/>
      <c r="B61" s="14"/>
      <c r="C61" s="14"/>
      <c r="D61" s="14"/>
      <c r="E61" s="14"/>
      <c r="F61" s="14"/>
      <c r="G61" s="14"/>
      <c r="H61" s="14"/>
      <c r="I61" s="14"/>
      <c r="J61" s="14"/>
      <c r="K61" s="14"/>
      <c r="L61" s="14"/>
    </row>
    <row r="62" spans="1:12">
      <c r="A62" s="14"/>
      <c r="B62" s="14"/>
      <c r="C62" s="14"/>
      <c r="D62" s="14"/>
      <c r="E62" s="14"/>
      <c r="F62" s="14"/>
      <c r="G62" s="14"/>
      <c r="H62" s="14"/>
      <c r="I62" s="14"/>
      <c r="J62" s="14"/>
      <c r="K62" s="14"/>
      <c r="L62" s="14"/>
    </row>
    <row r="63" spans="1:12">
      <c r="A63" s="14"/>
      <c r="B63" s="14"/>
      <c r="C63" s="14"/>
      <c r="D63" s="14"/>
      <c r="E63" s="14"/>
      <c r="F63" s="14"/>
      <c r="G63" s="14"/>
      <c r="H63" s="14"/>
      <c r="I63" s="14"/>
      <c r="J63" s="14"/>
      <c r="K63" s="14"/>
      <c r="L63" s="14"/>
    </row>
    <row r="64" spans="1:12">
      <c r="A64" s="14"/>
      <c r="B64" s="14"/>
      <c r="C64" s="14"/>
      <c r="D64" s="14"/>
      <c r="E64" s="14"/>
      <c r="F64" s="14"/>
      <c r="G64" s="14"/>
      <c r="H64" s="14"/>
      <c r="I64" s="14"/>
      <c r="J64" s="14"/>
      <c r="K64" s="14"/>
      <c r="L64" s="14"/>
    </row>
  </sheetData>
  <mergeCells count="1">
    <mergeCell ref="A2:L2"/>
  </mergeCells>
  <phoneticPr fontId="16" type="noConversion"/>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0000000}">
          <x14:formula1>
            <xm:f>Lists!$G$2:$G$4</xm:f>
          </x14:formula1>
          <x14:formula2>
            <xm:f>0</xm:f>
          </x14:formula2>
          <xm:sqref>D4:D64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8"/>
  <sheetViews>
    <sheetView showGridLines="0" zoomScaleNormal="100" workbookViewId="0"/>
  </sheetViews>
  <sheetFormatPr baseColWidth="10" defaultColWidth="8.6640625" defaultRowHeight="15"/>
  <cols>
    <col min="1" max="10" width="30" customWidth="1"/>
  </cols>
  <sheetData>
    <row r="1" spans="1:10">
      <c r="A1" s="27" t="s">
        <v>25</v>
      </c>
      <c r="B1" s="27" t="s">
        <v>24</v>
      </c>
      <c r="C1" s="27" t="s">
        <v>77</v>
      </c>
      <c r="D1" s="27" t="s">
        <v>160</v>
      </c>
      <c r="E1" s="27" t="s">
        <v>161</v>
      </c>
      <c r="F1" s="27" t="s">
        <v>162</v>
      </c>
      <c r="G1" s="27" t="s">
        <v>163</v>
      </c>
      <c r="H1" s="27" t="s">
        <v>164</v>
      </c>
      <c r="I1" s="27" t="s">
        <v>165</v>
      </c>
      <c r="J1" s="27" t="s">
        <v>166</v>
      </c>
    </row>
    <row r="2" spans="1:10">
      <c r="A2" s="28" t="s">
        <v>31</v>
      </c>
      <c r="B2" s="28" t="s">
        <v>30</v>
      </c>
      <c r="C2" s="28" t="s">
        <v>78</v>
      </c>
      <c r="D2" s="28" t="s">
        <v>11</v>
      </c>
      <c r="E2" s="28" t="s">
        <v>167</v>
      </c>
      <c r="F2" s="28" t="s">
        <v>168</v>
      </c>
      <c r="G2" s="28" t="s">
        <v>155</v>
      </c>
      <c r="H2" s="28" t="s">
        <v>139</v>
      </c>
      <c r="I2" s="28" t="s">
        <v>30</v>
      </c>
      <c r="J2" s="28" t="s">
        <v>95</v>
      </c>
    </row>
    <row r="3" spans="1:10">
      <c r="A3" s="28" t="s">
        <v>169</v>
      </c>
      <c r="B3" s="28" t="s">
        <v>170</v>
      </c>
      <c r="C3" s="28" t="s">
        <v>171</v>
      </c>
      <c r="D3" s="28" t="s">
        <v>75</v>
      </c>
      <c r="E3" s="28" t="s">
        <v>172</v>
      </c>
      <c r="F3" s="28" t="s">
        <v>173</v>
      </c>
      <c r="G3" s="28" t="s">
        <v>167</v>
      </c>
      <c r="H3" s="28" t="s">
        <v>174</v>
      </c>
      <c r="I3" s="28" t="s">
        <v>66</v>
      </c>
      <c r="J3" s="28" t="s">
        <v>96</v>
      </c>
    </row>
    <row r="4" spans="1:10">
      <c r="A4" s="28" t="s">
        <v>175</v>
      </c>
      <c r="C4" s="28" t="s">
        <v>176</v>
      </c>
      <c r="D4" s="28" t="s">
        <v>177</v>
      </c>
      <c r="E4" s="28" t="s">
        <v>14</v>
      </c>
      <c r="G4" s="28" t="s">
        <v>178</v>
      </c>
      <c r="H4" s="28" t="s">
        <v>179</v>
      </c>
      <c r="J4" s="28" t="s">
        <v>180</v>
      </c>
    </row>
    <row r="5" spans="1:10">
      <c r="A5" s="28" t="s">
        <v>181</v>
      </c>
      <c r="H5" s="28" t="s">
        <v>182</v>
      </c>
      <c r="J5" s="28" t="s">
        <v>183</v>
      </c>
    </row>
    <row r="6" spans="1:10">
      <c r="J6" s="28" t="s">
        <v>184</v>
      </c>
    </row>
    <row r="7" spans="1:10">
      <c r="J7" s="28" t="s">
        <v>185</v>
      </c>
    </row>
    <row r="8" spans="1:10">
      <c r="J8" s="28" t="s">
        <v>186</v>
      </c>
    </row>
  </sheetData>
  <phoneticPr fontId="16" type="noConversion"/>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Checklist</vt:lpstr>
      <vt:lpstr>Course info</vt:lpstr>
      <vt:lpstr>Lessons</vt:lpstr>
      <vt:lpstr>Knowledge test</vt:lpstr>
      <vt:lpstr>Application test</vt:lpstr>
      <vt:lpstr>Reading list</vt:lpstr>
      <vt:lpstr>Exhibits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Cai Ma</cp:lastModifiedBy>
  <cp:revision>0</cp:revision>
  <dcterms:created xsi:type="dcterms:W3CDTF">2026-10-27T07:16:56Z</dcterms:created>
  <dcterms:modified xsi:type="dcterms:W3CDTF">2026-10-29T14:46:12Z</dcterms:modified>
  <dc:language>en-US</dc:language>
</cp:coreProperties>
</file>